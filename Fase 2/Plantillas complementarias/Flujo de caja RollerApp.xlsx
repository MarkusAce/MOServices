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uesta Baja Elegida" sheetId="1" r:id="rId4"/>
    <sheet state="visible" name="Propuesta Baja Elegida 1.2" sheetId="2" r:id="rId5"/>
    <sheet state="visible" name="Propuesta Media" sheetId="3" r:id="rId6"/>
    <sheet state="visible" name="Propuesta Media 1.2" sheetId="4" r:id="rId7"/>
    <sheet state="visible" name="Propuesta Alta" sheetId="5" r:id="rId8"/>
    <sheet state="visible" name="Propuesta Alta 1.2" sheetId="6" r:id="rId9"/>
    <sheet state="visible" name="Demas propuestas" sheetId="7" r:id="rId10"/>
  </sheets>
  <definedNames/>
  <calcPr/>
  <extLst>
    <ext uri="GoogleSheetsCustomDataVersion2">
      <go:sheetsCustomData xmlns:go="http://customooxmlschemas.google.com/" r:id="rId11" roundtripDataChecksum="TDO9JF5DacxAvJlE/XcoreXK4Qja5NuDQqCpLD5VvFs="/>
    </ext>
  </extLst>
</workbook>
</file>

<file path=xl/sharedStrings.xml><?xml version="1.0" encoding="utf-8"?>
<sst xmlns="http://schemas.openxmlformats.org/spreadsheetml/2006/main" count="499" uniqueCount="215">
  <si>
    <t>Egresos / Gastos</t>
  </si>
  <si>
    <t>Precio de venta Propuesta Baja</t>
  </si>
  <si>
    <t>Cobro al cliente</t>
  </si>
  <si>
    <t>Totales nomina y sueldos</t>
  </si>
  <si>
    <t>Concepto</t>
  </si>
  <si>
    <t>Egreso Gasto</t>
  </si>
  <si>
    <t>Monto</t>
  </si>
  <si>
    <t>Mes</t>
  </si>
  <si>
    <t>Monto mensual</t>
  </si>
  <si>
    <t>Porcentaje</t>
  </si>
  <si>
    <t>Cuota</t>
  </si>
  <si>
    <t>Meses</t>
  </si>
  <si>
    <t>Costos de personal 6 meses</t>
  </si>
  <si>
    <t>Total 6 meses</t>
  </si>
  <si>
    <t>Inversion Inicial Mes 0</t>
  </si>
  <si>
    <t>Mes 1</t>
  </si>
  <si>
    <t>Integrante</t>
  </si>
  <si>
    <t>Cargo</t>
  </si>
  <si>
    <t>Sueldo mensual proyecto</t>
  </si>
  <si>
    <t>Gastos operacionales</t>
  </si>
  <si>
    <t>Mes 2</t>
  </si>
  <si>
    <t>Valor diario</t>
  </si>
  <si>
    <t>Costos tecnológicos</t>
  </si>
  <si>
    <t>Mes 3</t>
  </si>
  <si>
    <t>Valor hora aprox</t>
  </si>
  <si>
    <t>Inversión inicial</t>
  </si>
  <si>
    <t>Sueldos equipo desarrollo</t>
  </si>
  <si>
    <t>Mes 4</t>
  </si>
  <si>
    <t>Margen de seguridad / contingencia</t>
  </si>
  <si>
    <t>M1 - M6</t>
  </si>
  <si>
    <t>Mes 5</t>
  </si>
  <si>
    <t>Costo total estimado</t>
  </si>
  <si>
    <t>Ítem</t>
  </si>
  <si>
    <t>Mes 6</t>
  </si>
  <si>
    <t>Lucas Olea</t>
  </si>
  <si>
    <t>Utilidad estimada</t>
  </si>
  <si>
    <t xml:space="preserve">Product Owner / Desarrollador </t>
  </si>
  <si>
    <t>TOTAL</t>
  </si>
  <si>
    <t>Mantención y soporte</t>
  </si>
  <si>
    <t>Equipamiento tecnológico adicional</t>
  </si>
  <si>
    <t>Rodrigo Soto</t>
  </si>
  <si>
    <t xml:space="preserve">Development Team / Arquitectura y UI-UX </t>
  </si>
  <si>
    <t>Servicios básicos / Internet</t>
  </si>
  <si>
    <t>Periféricos</t>
  </si>
  <si>
    <t>Precio venta neto sugerido</t>
  </si>
  <si>
    <t>Rodrigo Riquelme</t>
  </si>
  <si>
    <t>Development Team / QA Lead</t>
  </si>
  <si>
    <t>Dominio, correo y servicios digitales</t>
  </si>
  <si>
    <t>Almacenamiento y respaldo</t>
  </si>
  <si>
    <t>Marco Robles</t>
  </si>
  <si>
    <t xml:space="preserve">Scrum Master / Gestión de Base de Datos </t>
  </si>
  <si>
    <t>Rentabilidad sobre venta</t>
  </si>
  <si>
    <t>TOTAL EGRESOS GASTO</t>
  </si>
  <si>
    <t>Precio venta + IVA</t>
  </si>
  <si>
    <t>Flujo de caja propuesta baja</t>
  </si>
  <si>
    <t>Configuración inicial Cloud</t>
  </si>
  <si>
    <t>Equipo de desarrollo / Empresa</t>
  </si>
  <si>
    <t>TOTAL INVERSIÓN INICIAL</t>
  </si>
  <si>
    <t>FLUJOS DE CAJA</t>
  </si>
  <si>
    <t>Mes 0</t>
  </si>
  <si>
    <t>Cuota Cliente</t>
  </si>
  <si>
    <t>Saldo Periodo Anterior</t>
  </si>
  <si>
    <t>Préstamos</t>
  </si>
  <si>
    <t>Inversión</t>
  </si>
  <si>
    <t>Capital Inicial</t>
  </si>
  <si>
    <t>Egresos / Costos</t>
  </si>
  <si>
    <t>INGRESOS EFECTIVOS</t>
  </si>
  <si>
    <t>Totales solicitados</t>
  </si>
  <si>
    <t>Egreso Costo</t>
  </si>
  <si>
    <t>Financiamiento</t>
  </si>
  <si>
    <t>Licencias y herramientas</t>
  </si>
  <si>
    <t>M1</t>
  </si>
  <si>
    <t>EGRESOS</t>
  </si>
  <si>
    <t>Valor</t>
  </si>
  <si>
    <t>Total sueldos mensuales</t>
  </si>
  <si>
    <t>Infraestructura Cloud</t>
  </si>
  <si>
    <t>Sueldos Equipo Desarrollo</t>
  </si>
  <si>
    <t>Recursos de diseño</t>
  </si>
  <si>
    <t>Total sueldo diario</t>
  </si>
  <si>
    <t>Mantención / Soporte</t>
  </si>
  <si>
    <t>Servicios básicos</t>
  </si>
  <si>
    <t>Licencias / Herramientas</t>
  </si>
  <si>
    <t>Materiales / Pruebas</t>
  </si>
  <si>
    <t>Dispositivos / pruebas móviles</t>
  </si>
  <si>
    <t>M2</t>
  </si>
  <si>
    <t>Capital propio</t>
  </si>
  <si>
    <t>Configuración / Despliegue</t>
  </si>
  <si>
    <t>Documentación / Entrega</t>
  </si>
  <si>
    <t>Cuota Préstamo</t>
  </si>
  <si>
    <t>Materiales QA</t>
  </si>
  <si>
    <t>M3</t>
  </si>
  <si>
    <t>Préstamo</t>
  </si>
  <si>
    <t>Inversión Inicial</t>
  </si>
  <si>
    <t>Cloud y despliegue</t>
  </si>
  <si>
    <t>M5</t>
  </si>
  <si>
    <t>$0</t>
  </si>
  <si>
    <t>Tasa mensual</t>
  </si>
  <si>
    <t>TOTAL EGRESOS</t>
  </si>
  <si>
    <t>1.50%</t>
  </si>
  <si>
    <t>Documentación y entrega</t>
  </si>
  <si>
    <t>M6</t>
  </si>
  <si>
    <t>Plazo</t>
  </si>
  <si>
    <t>12 meses</t>
  </si>
  <si>
    <t>TOTAL EGRESOS COSTO</t>
  </si>
  <si>
    <t>Cuota aproximada</t>
  </si>
  <si>
    <t>Total 12 cuotas</t>
  </si>
  <si>
    <t>Intereses aproximados</t>
  </si>
  <si>
    <t>Otros</t>
  </si>
  <si>
    <t>Módulo / Servicio</t>
  </si>
  <si>
    <t>Análisis y arquitectura del sistema</t>
  </si>
  <si>
    <t>FLUJO NETO</t>
  </si>
  <si>
    <t>Plataforma Web Responsive</t>
  </si>
  <si>
    <t>Aplicación móvil Ionic / Angular</t>
  </si>
  <si>
    <t>Catálogo de productos y servicios</t>
  </si>
  <si>
    <t>Cotizador dinámico</t>
  </si>
  <si>
    <t>Backend API REST Spring Boot</t>
  </si>
  <si>
    <t>Base de Datos MySQL</t>
  </si>
  <si>
    <t>Gestión de usuarios y roles</t>
  </si>
  <si>
    <t>Gestión de pedidos</t>
  </si>
  <si>
    <t>Agenda técnica</t>
  </si>
  <si>
    <t>Gestión de técnicos</t>
  </si>
  <si>
    <t>Gestión de clientes</t>
  </si>
  <si>
    <t>SALDO ACUMULADO</t>
  </si>
  <si>
    <t>Integración Webpay Plus</t>
  </si>
  <si>
    <t>Notificaciones y correos</t>
  </si>
  <si>
    <t>Backoffice administrativo</t>
  </si>
  <si>
    <t>Dashboard / KPIs</t>
  </si>
  <si>
    <t>Seguridad y autenticación</t>
  </si>
  <si>
    <t>QA y pruebas</t>
  </si>
  <si>
    <t>Capacitación</t>
  </si>
  <si>
    <t>Documentación</t>
  </si>
  <si>
    <t>TOTAL IMPLEMENTACIÓN</t>
  </si>
  <si>
    <t>Precio de venta Propuesta Media</t>
  </si>
  <si>
    <t>Inversion Inicial</t>
  </si>
  <si>
    <t>M1–M6</t>
  </si>
  <si>
    <t>Sueldos desarrollo</t>
  </si>
  <si>
    <t>Utilidad esperada</t>
  </si>
  <si>
    <t>Periféricos y accesorios</t>
  </si>
  <si>
    <t>Mantención / soporte</t>
  </si>
  <si>
    <t>Disco/respaldo externo</t>
  </si>
  <si>
    <t>Dominio, correos y servicios digitales</t>
  </si>
  <si>
    <t>Equipamiento tecnológico</t>
  </si>
  <si>
    <t>Configuración inicial del entorno</t>
  </si>
  <si>
    <t>Arriendo / cowork</t>
  </si>
  <si>
    <t>Equipos móviles para pruebas</t>
  </si>
  <si>
    <t>Flujo de caja propuesta Media</t>
  </si>
  <si>
    <t>Respaldo / almacenamiento</t>
  </si>
  <si>
    <t>Correos / servicios digitales</t>
  </si>
  <si>
    <t>Equipamiento complementario</t>
  </si>
  <si>
    <t>Equipamiento tecnológico complementario</t>
  </si>
  <si>
    <t>Licencias avanzadas</t>
  </si>
  <si>
    <t>Licencias / herramientas de desarrollo</t>
  </si>
  <si>
    <t>Diseño / Recursos</t>
  </si>
  <si>
    <t>Pruebas Q/A</t>
  </si>
  <si>
    <t>Despliegue</t>
  </si>
  <si>
    <t>Diseño / recursos gráficos</t>
  </si>
  <si>
    <t>Diseño UI/UX</t>
  </si>
  <si>
    <t>Documentacion</t>
  </si>
  <si>
    <t>Pruebas y dispositivos móviles</t>
  </si>
  <si>
    <t>Dispositivos de prueba</t>
  </si>
  <si>
    <t>Configuración Cloud y despliegue</t>
  </si>
  <si>
    <t>Seguridad y pruebas</t>
  </si>
  <si>
    <t>Implementación final</t>
  </si>
  <si>
    <t>Cotizador Web Responsive</t>
  </si>
  <si>
    <t>Backend API REST – Java Spring Boot</t>
  </si>
  <si>
    <t>Gestión básica de pedidos</t>
  </si>
  <si>
    <t>Agenda técnica básica</t>
  </si>
  <si>
    <t>Aplicación móvil Ionic / Angular básica</t>
  </si>
  <si>
    <t>Panel administrativo básico</t>
  </si>
  <si>
    <t>QA y pruebas funcionales</t>
  </si>
  <si>
    <t>Análisis y arquitectura avanzada</t>
  </si>
  <si>
    <t>Capacitación inicial</t>
  </si>
  <si>
    <t>Plataforma Web completa</t>
  </si>
  <si>
    <t>Documentación del sistema</t>
  </si>
  <si>
    <t>Aplicación móvil completa</t>
  </si>
  <si>
    <t>Catálogo avanzado</t>
  </si>
  <si>
    <t>Cotizador dinámico avanzado</t>
  </si>
  <si>
    <t>Backend / API REST</t>
  </si>
  <si>
    <t>Base de Datos</t>
  </si>
  <si>
    <t>Usuarios y roles</t>
  </si>
  <si>
    <t>Agenda técnica avanzada</t>
  </si>
  <si>
    <t>Webpay Plus</t>
  </si>
  <si>
    <t>Notificaciones</t>
  </si>
  <si>
    <t>Backoffice avanzado</t>
  </si>
  <si>
    <t>Seguridad avanzada</t>
  </si>
  <si>
    <t>QA / Testing avanzado</t>
  </si>
  <si>
    <t>Cloud / DevOps</t>
  </si>
  <si>
    <t>Soporte post-entrega</t>
  </si>
  <si>
    <t>Precio de venta Propuesta Alta</t>
  </si>
  <si>
    <t>Flujo de caja propuesta Alta</t>
  </si>
  <si>
    <t>Arriendo / Cowork</t>
  </si>
  <si>
    <t>Licencias</t>
  </si>
  <si>
    <t>Pruebas / Seguridad</t>
  </si>
  <si>
    <t>Cloud / Implementación</t>
  </si>
  <si>
    <t>Cuota Prestamo</t>
  </si>
  <si>
    <t>Baja</t>
  </si>
  <si>
    <t>Media</t>
  </si>
  <si>
    <t>Alta</t>
  </si>
  <si>
    <t>Precio neto</t>
  </si>
  <si>
    <t>IVA</t>
  </si>
  <si>
    <t>Precio final</t>
  </si>
  <si>
    <t>Alcance</t>
  </si>
  <si>
    <t>Esencial</t>
  </si>
  <si>
    <t>Recomendado</t>
  </si>
  <si>
    <t>Premium</t>
  </si>
  <si>
    <t>Duración</t>
  </si>
  <si>
    <t>6 meses</t>
  </si>
  <si>
    <t>Equipo</t>
  </si>
  <si>
    <t>Junior</t>
  </si>
  <si>
    <t>Junior + mayor dedicación</t>
  </si>
  <si>
    <t>Junior + dedicación ampliada</t>
  </si>
  <si>
    <t>Margen objetivo</t>
  </si>
  <si>
    <t>~15%</t>
  </si>
  <si>
    <t>~20%</t>
  </si>
  <si>
    <t>~25%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</si>
</sst>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[$$-340A]* #,##0_ ;_ [$$-340A]* \-#,##0_ ;_ [$$-340A]* &quot;-&quot;_ ;_ @_ "/>
    <numFmt numFmtId="165" formatCode="0.0%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35">
    <border/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2" fillId="2" fontId="1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right" shrinkToFit="0" vertical="center" wrapText="1"/>
    </xf>
    <xf borderId="8" fillId="0" fontId="1" numFmtId="0" xfId="0" applyAlignment="1" applyBorder="1" applyFont="1">
      <alignment horizontal="right"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3" numFmtId="164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7" fillId="0" fontId="3" numFmtId="9" xfId="0" applyAlignment="1" applyBorder="1" applyFont="1" applyNumberFormat="1">
      <alignment horizontal="right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7" fillId="0" fontId="3" numFmtId="164" xfId="0" applyAlignment="1" applyBorder="1" applyFont="1" applyNumberFormat="1">
      <alignment horizontal="right" shrinkToFit="0" vertical="center" wrapText="1"/>
    </xf>
    <xf borderId="10" fillId="0" fontId="1" numFmtId="0" xfId="0" applyAlignment="1" applyBorder="1" applyFont="1">
      <alignment horizontal="right" shrinkToFit="0" vertical="center" wrapText="1"/>
    </xf>
    <xf borderId="11" fillId="0" fontId="1" numFmtId="0" xfId="0" applyAlignment="1" applyBorder="1" applyFont="1">
      <alignment horizontal="right" shrinkToFit="0" vertical="center" wrapText="1"/>
    </xf>
    <xf borderId="12" fillId="0" fontId="3" numFmtId="0" xfId="0" applyAlignment="1" applyBorder="1" applyFont="1">
      <alignment shrinkToFit="0" vertical="center" wrapText="1"/>
    </xf>
    <xf borderId="12" fillId="0" fontId="3" numFmtId="164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3" fillId="2" fontId="1" numFmtId="0" xfId="0" applyAlignment="1" applyBorder="1" applyFill="1" applyFont="1">
      <alignment shrinkToFit="0" vertical="center" wrapText="1"/>
    </xf>
    <xf borderId="14" fillId="2" fontId="1" numFmtId="164" xfId="0" applyAlignment="1" applyBorder="1" applyFill="1" applyFont="1" applyNumberFormat="1">
      <alignment horizontal="right" shrinkToFit="0" vertical="center" wrapText="1"/>
    </xf>
    <xf borderId="12" fillId="0" fontId="3" numFmtId="9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7" fillId="0" fontId="1" numFmtId="164" xfId="0" applyAlignment="1" applyBorder="1" applyFont="1" applyNumberFormat="1">
      <alignment horizontal="right" shrinkToFit="0" vertical="center" wrapText="1"/>
    </xf>
    <xf borderId="9" fillId="2" fontId="1" numFmtId="0" xfId="0" applyAlignment="1" applyBorder="1" applyFill="1" applyFont="1">
      <alignment shrinkToFit="0" vertical="center" wrapText="1"/>
    </xf>
    <xf borderId="10" fillId="2" fontId="1" numFmtId="9" xfId="0" applyAlignment="1" applyBorder="1" applyFill="1" applyFont="1" applyNumberFormat="1">
      <alignment horizontal="right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11" fillId="2" fontId="1" numFmtId="164" xfId="0" applyAlignment="1" applyBorder="1" applyFill="1" applyFont="1" applyNumberFormat="1">
      <alignment horizontal="right" shrinkToFit="0" vertical="center" wrapText="1"/>
    </xf>
    <xf borderId="7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12" fillId="0" fontId="1" numFmtId="10" xfId="0" applyAlignment="1" applyBorder="1" applyFont="1" applyNumberFormat="1">
      <alignment horizontal="right" shrinkToFit="0" vertical="center" wrapText="1"/>
    </xf>
    <xf borderId="10" fillId="0" fontId="1" numFmtId="164" xfId="0" applyAlignment="1" applyBorder="1" applyFont="1" applyNumberFormat="1">
      <alignment horizontal="right" shrinkToFit="0" vertical="center" wrapText="1"/>
    </xf>
    <xf borderId="10" fillId="0" fontId="3" numFmtId="0" xfId="0" applyAlignment="1" applyBorder="1" applyFont="1">
      <alignment shrinkToFit="0" vertical="center" wrapText="1"/>
    </xf>
    <xf borderId="15" fillId="2" fontId="1" numFmtId="164" xfId="0" applyBorder="1" applyFill="1" applyFont="1" applyNumberFormat="1"/>
    <xf borderId="16" fillId="2" fontId="1" numFmtId="0" xfId="0" applyAlignment="1" applyBorder="1" applyFill="1" applyFont="1">
      <alignment horizontal="center" vertical="center"/>
    </xf>
    <xf borderId="11" fillId="0" fontId="1" numFmtId="164" xfId="0" applyAlignment="1" applyBorder="1" applyFont="1" applyNumberFormat="1">
      <alignment horizontal="right" shrinkToFit="0" vertical="center" wrapText="1"/>
    </xf>
    <xf borderId="17" fillId="2" fontId="1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shrinkToFit="0" vertical="center" wrapText="1"/>
    </xf>
    <xf borderId="12" fillId="0" fontId="1" numFmtId="164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right" shrinkToFit="0" vertical="center" wrapText="1"/>
    </xf>
    <xf borderId="10" fillId="2" fontId="1" numFmtId="0" xfId="0" applyAlignment="1" applyBorder="1" applyFill="1" applyFont="1">
      <alignment horizontal="right" shrinkToFit="0" vertical="center" wrapText="1"/>
    </xf>
    <xf borderId="11" fillId="2" fontId="1" numFmtId="0" xfId="0" applyAlignment="1" applyBorder="1" applyFill="1" applyFont="1">
      <alignment horizontal="right" shrinkToFit="0" vertical="center" wrapText="1"/>
    </xf>
    <xf borderId="0" fillId="0" fontId="3" numFmtId="164" xfId="0" applyFont="1" applyNumberFormat="1"/>
    <xf borderId="10" fillId="2" fontId="1" numFmtId="164" xfId="0" applyAlignment="1" applyBorder="1" applyFill="1" applyFont="1" applyNumberForma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19" fillId="0" fontId="3" numFmtId="0" xfId="0" applyAlignment="1" applyBorder="1" applyFont="1">
      <alignment shrinkToFit="0" vertical="center" wrapText="1"/>
    </xf>
    <xf borderId="19" fillId="0" fontId="3" numFmtId="164" xfId="0" applyAlignment="1" applyBorder="1" applyFont="1" applyNumberFormat="1">
      <alignment horizontal="right" shrinkToFit="0" vertical="center" wrapText="1"/>
    </xf>
    <xf borderId="20" fillId="2" fontId="1" numFmtId="0" xfId="0" applyAlignment="1" applyBorder="1" applyFill="1" applyFont="1">
      <alignment shrinkToFit="0" vertical="center" wrapText="1"/>
    </xf>
    <xf borderId="21" fillId="2" fontId="1" numFmtId="164" xfId="0" applyAlignment="1" applyBorder="1" applyFill="1" applyFont="1" applyNumberFormat="1">
      <alignment horizontal="right" shrinkToFit="0" vertical="center" wrapText="1"/>
    </xf>
    <xf borderId="22" fillId="2" fontId="1" numFmtId="164" xfId="0" applyAlignment="1" applyBorder="1" applyFill="1" applyFont="1" applyNumberFormat="1">
      <alignment horizontal="right" shrinkToFit="0" vertical="center" wrapText="1"/>
    </xf>
    <xf borderId="23" fillId="2" fontId="1" numFmtId="0" xfId="0" applyAlignment="1" applyBorder="1" applyFill="1" applyFont="1">
      <alignment shrinkToFit="0" vertical="center" wrapText="1"/>
    </xf>
    <xf borderId="24" fillId="2" fontId="1" numFmtId="164" xfId="0" applyAlignment="1" applyBorder="1" applyFill="1" applyFont="1" applyNumberFormat="1">
      <alignment horizontal="right" shrinkToFit="0" vertical="center" wrapText="1"/>
    </xf>
    <xf borderId="25" fillId="2" fontId="1" numFmtId="164" xfId="0" applyAlignment="1" applyBorder="1" applyFill="1" applyFont="1" applyNumberFormat="1">
      <alignment horizontal="right" shrinkToFit="0" vertical="center" wrapText="1"/>
    </xf>
    <xf borderId="12" fillId="0" fontId="3" numFmtId="164" xfId="0" applyBorder="1" applyFont="1" applyNumberFormat="1"/>
    <xf borderId="16" fillId="2" fontId="1" numFmtId="0" xfId="0" applyAlignment="1" applyBorder="1" applyFill="1" applyFont="1">
      <alignment shrinkToFit="0" vertical="center" wrapText="1"/>
    </xf>
    <xf borderId="26" fillId="2" fontId="1" numFmtId="164" xfId="0" applyAlignment="1" applyBorder="1" applyFill="1" applyFont="1" applyNumberFormat="1">
      <alignment horizontal="right" shrinkToFit="0" vertical="center" wrapText="1"/>
    </xf>
    <xf borderId="12" fillId="0" fontId="3" numFmtId="9" xfId="0" applyBorder="1" applyFont="1" applyNumberFormat="1"/>
    <xf borderId="27" fillId="2" fontId="1" numFmtId="0" xfId="0" applyAlignment="1" applyBorder="1" applyFill="1" applyFont="1">
      <alignment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8" fillId="0" fontId="1" numFmtId="164" xfId="0" applyAlignment="1" applyBorder="1" applyFont="1" applyNumberFormat="1">
      <alignment horizontal="right" shrinkToFit="0" vertical="center" wrapText="1"/>
    </xf>
    <xf borderId="28" fillId="2" fontId="1" numFmtId="164" xfId="0" applyBorder="1" applyFill="1" applyFont="1" applyNumberFormat="1"/>
    <xf borderId="29" fillId="2" fontId="1" numFmtId="0" xfId="0" applyAlignment="1" applyBorder="1" applyFill="1" applyFont="1">
      <alignment horizontal="center" vertical="center"/>
    </xf>
    <xf borderId="30" fillId="2" fontId="1" numFmtId="0" xfId="0" applyAlignment="1" applyBorder="1" applyFill="1" applyFont="1">
      <alignment horizontal="center" vertical="center"/>
    </xf>
    <xf borderId="31" fillId="2" fontId="1" numFmtId="0" xfId="0" applyAlignment="1" applyBorder="1" applyFill="1" applyFont="1">
      <alignment horizontal="center" vertical="center"/>
    </xf>
    <xf borderId="7" fillId="0" fontId="3" numFmtId="10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164" xfId="0" applyAlignment="1" applyBorder="1" applyFont="1" applyNumberFormat="1">
      <alignment horizontal="left" shrinkToFit="0" vertical="center" wrapText="1"/>
    </xf>
    <xf borderId="32" fillId="0" fontId="1" numFmtId="0" xfId="0" applyAlignment="1" applyBorder="1" applyFont="1">
      <alignment shrinkToFit="0" vertical="center" wrapText="1"/>
    </xf>
    <xf borderId="33" fillId="0" fontId="1" numFmtId="164" xfId="0" applyAlignment="1" applyBorder="1" applyFont="1" applyNumberFormat="1">
      <alignment horizontal="right" shrinkToFit="0" vertical="center" wrapText="1"/>
    </xf>
    <xf borderId="12" fillId="0" fontId="3" numFmtId="165" xfId="0" applyBorder="1" applyFont="1" applyNumberFormat="1"/>
    <xf borderId="0" fillId="0" fontId="1" numFmtId="0" xfId="0" applyAlignment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  <xf borderId="28" fillId="2" fontId="1" numFmtId="0" xfId="0" applyAlignment="1" applyBorder="1" applyFill="1" applyFont="1">
      <alignment shrinkToFit="0" vertical="center" wrapText="1"/>
    </xf>
    <xf borderId="9" fillId="0" fontId="1" numFmtId="164" xfId="0" applyAlignment="1" applyBorder="1" applyFont="1" applyNumberFormat="1">
      <alignment horizontal="right" shrinkToFit="0" vertical="center" wrapText="1"/>
    </xf>
    <xf borderId="34" fillId="0" fontId="1" numFmtId="164" xfId="0" applyAlignment="1" applyBorder="1" applyFont="1" applyNumberFormat="1">
      <alignment horizontal="right" shrinkToFit="0" vertical="center" wrapText="1"/>
    </xf>
    <xf borderId="19" fillId="0" fontId="1" numFmtId="164" xfId="0" applyAlignment="1" applyBorder="1" applyFont="1" applyNumberFormat="1">
      <alignment horizontal="right" shrinkToFit="0" vertical="center" wrapText="1"/>
    </xf>
    <xf borderId="8" fillId="0" fontId="3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63"/>
    <col customWidth="1" min="3" max="3" width="21.88"/>
    <col customWidth="1" min="4" max="4" width="22.13"/>
    <col customWidth="1" min="5" max="5" width="17.88"/>
    <col customWidth="1" min="6" max="6" width="15.13"/>
    <col customWidth="1" min="7" max="8" width="10.63"/>
    <col customWidth="1" min="9" max="9" width="17.13"/>
    <col customWidth="1" min="10" max="10" width="16.63"/>
    <col customWidth="1" min="11" max="15" width="10.63"/>
    <col customWidth="1" min="16" max="16" width="17.13"/>
    <col customWidth="1" min="17" max="17" width="16.63"/>
    <col customWidth="1" min="18" max="18" width="17.63"/>
    <col customWidth="1" min="19" max="19" width="17.25"/>
    <col customWidth="1" min="20" max="20" width="21.25"/>
    <col customWidth="1" min="21" max="26" width="10.63"/>
  </cols>
  <sheetData>
    <row r="2">
      <c r="C2" s="2" t="s">
        <v>0</v>
      </c>
      <c r="D2" s="4"/>
      <c r="E2" s="4"/>
      <c r="F2" s="5"/>
      <c r="P2" s="7" t="s">
        <v>3</v>
      </c>
      <c r="Q2" s="4"/>
      <c r="R2" s="5"/>
    </row>
    <row r="3">
      <c r="C3" s="9" t="s">
        <v>5</v>
      </c>
      <c r="D3" s="11" t="s">
        <v>8</v>
      </c>
      <c r="E3" s="9" t="s">
        <v>11</v>
      </c>
      <c r="F3" s="11" t="s">
        <v>13</v>
      </c>
      <c r="I3" s="2" t="s">
        <v>14</v>
      </c>
      <c r="J3" s="5"/>
      <c r="P3" s="15" t="s">
        <v>16</v>
      </c>
      <c r="Q3" s="17" t="s">
        <v>17</v>
      </c>
      <c r="R3" s="19" t="s">
        <v>18</v>
      </c>
      <c r="S3" s="19" t="s">
        <v>21</v>
      </c>
      <c r="T3" s="20" t="s">
        <v>24</v>
      </c>
    </row>
    <row r="4">
      <c r="C4" s="14" t="s">
        <v>26</v>
      </c>
      <c r="D4" s="18">
        <v>2300000.0</v>
      </c>
      <c r="E4" s="23" t="s">
        <v>134</v>
      </c>
      <c r="F4" s="18">
        <f t="shared" ref="F4:F7" si="1">D4*6</f>
        <v>13800000</v>
      </c>
      <c r="I4" s="9" t="s">
        <v>32</v>
      </c>
      <c r="J4" s="11" t="s">
        <v>6</v>
      </c>
      <c r="P4" s="12" t="s">
        <v>34</v>
      </c>
      <c r="Q4" s="27" t="s">
        <v>36</v>
      </c>
      <c r="R4" s="13">
        <v>600000.0</v>
      </c>
      <c r="S4" s="13">
        <v>20000.0</v>
      </c>
      <c r="T4" s="13">
        <v>3333.0</v>
      </c>
    </row>
    <row r="5">
      <c r="C5" s="14" t="s">
        <v>38</v>
      </c>
      <c r="D5" s="18">
        <v>300000.0</v>
      </c>
      <c r="E5" s="23" t="s">
        <v>134</v>
      </c>
      <c r="F5" s="18">
        <f t="shared" si="1"/>
        <v>1800000</v>
      </c>
      <c r="I5" s="14" t="s">
        <v>137</v>
      </c>
      <c r="J5" s="18">
        <v>250000.0</v>
      </c>
      <c r="P5" s="14" t="s">
        <v>40</v>
      </c>
      <c r="Q5" s="31" t="s">
        <v>41</v>
      </c>
      <c r="R5" s="18">
        <v>600000.0</v>
      </c>
      <c r="S5" s="18">
        <v>20000.0</v>
      </c>
      <c r="T5" s="18">
        <v>3333.0</v>
      </c>
    </row>
    <row r="6">
      <c r="C6" s="14" t="s">
        <v>42</v>
      </c>
      <c r="D6" s="18">
        <v>100000.0</v>
      </c>
      <c r="E6" s="23" t="s">
        <v>134</v>
      </c>
      <c r="F6" s="18">
        <f t="shared" si="1"/>
        <v>600000</v>
      </c>
      <c r="I6" s="14" t="s">
        <v>139</v>
      </c>
      <c r="J6" s="18">
        <v>150000.0</v>
      </c>
      <c r="P6" s="14" t="s">
        <v>45</v>
      </c>
      <c r="Q6" s="31" t="s">
        <v>46</v>
      </c>
      <c r="R6" s="18">
        <v>600000.0</v>
      </c>
      <c r="S6" s="18">
        <v>20000.0</v>
      </c>
      <c r="T6" s="18">
        <v>3333.0</v>
      </c>
    </row>
    <row r="7">
      <c r="C7" s="21" t="s">
        <v>140</v>
      </c>
      <c r="D7" s="22">
        <v>30000.0</v>
      </c>
      <c r="E7" s="64" t="s">
        <v>134</v>
      </c>
      <c r="F7" s="22">
        <f t="shared" si="1"/>
        <v>180000</v>
      </c>
      <c r="I7" s="21" t="s">
        <v>142</v>
      </c>
      <c r="J7" s="22">
        <v>100000.0</v>
      </c>
      <c r="P7" s="14" t="s">
        <v>49</v>
      </c>
      <c r="Q7" s="31" t="s">
        <v>50</v>
      </c>
      <c r="R7" s="18">
        <v>500000.0</v>
      </c>
      <c r="S7" s="18">
        <v>16667.0</v>
      </c>
      <c r="T7" s="18">
        <v>2778.0</v>
      </c>
    </row>
    <row r="8" ht="42.75" customHeight="1">
      <c r="C8" s="34" t="s">
        <v>52</v>
      </c>
      <c r="D8" s="36">
        <f>SUM(D4:D7)</f>
        <v>2730000</v>
      </c>
      <c r="E8" s="37"/>
      <c r="F8" s="40">
        <f>SUM(F4:F7)</f>
        <v>16380000</v>
      </c>
      <c r="I8" s="34" t="s">
        <v>57</v>
      </c>
      <c r="J8" s="40">
        <f>SUM(J5:J7)</f>
        <v>500000</v>
      </c>
      <c r="P8" s="21" t="s">
        <v>56</v>
      </c>
      <c r="Q8" s="21" t="s">
        <v>38</v>
      </c>
      <c r="R8" s="22">
        <v>300000.0</v>
      </c>
      <c r="S8" s="22">
        <v>10000.0</v>
      </c>
      <c r="T8" s="22">
        <v>1667.0</v>
      </c>
    </row>
    <row r="9">
      <c r="P9" s="34" t="s">
        <v>37</v>
      </c>
      <c r="Q9" s="37"/>
      <c r="R9" s="36">
        <f t="shared" ref="R9:T9" si="2">SUM(R4:R8)</f>
        <v>2600000</v>
      </c>
      <c r="S9" s="36">
        <f t="shared" si="2"/>
        <v>86667</v>
      </c>
      <c r="T9" s="40">
        <f t="shared" si="2"/>
        <v>14444</v>
      </c>
    </row>
    <row r="11">
      <c r="C11" s="7" t="s">
        <v>65</v>
      </c>
      <c r="D11" s="4"/>
      <c r="E11" s="5"/>
      <c r="I11" s="1" t="s">
        <v>69</v>
      </c>
      <c r="J11" s="3"/>
      <c r="P11" s="2" t="s">
        <v>67</v>
      </c>
      <c r="Q11" s="5"/>
    </row>
    <row r="12">
      <c r="C12" s="9" t="s">
        <v>68</v>
      </c>
      <c r="D12" s="11" t="s">
        <v>6</v>
      </c>
      <c r="E12" s="11" t="s">
        <v>7</v>
      </c>
      <c r="I12" s="8" t="s">
        <v>4</v>
      </c>
      <c r="J12" s="10" t="s">
        <v>73</v>
      </c>
      <c r="P12" s="9" t="s">
        <v>4</v>
      </c>
      <c r="Q12" s="11" t="s">
        <v>6</v>
      </c>
    </row>
    <row r="13">
      <c r="C13" s="14" t="s">
        <v>149</v>
      </c>
      <c r="D13" s="18">
        <v>500000.0</v>
      </c>
      <c r="E13" s="45" t="s">
        <v>71</v>
      </c>
      <c r="I13" s="14" t="s">
        <v>25</v>
      </c>
      <c r="J13" s="18">
        <v>1500000.0</v>
      </c>
      <c r="P13" s="14" t="s">
        <v>74</v>
      </c>
      <c r="Q13" s="28">
        <f>R9</f>
        <v>2600000</v>
      </c>
    </row>
    <row r="14">
      <c r="C14" s="14" t="s">
        <v>151</v>
      </c>
      <c r="D14" s="18">
        <v>150000.0</v>
      </c>
      <c r="E14" s="45" t="s">
        <v>71</v>
      </c>
      <c r="I14" s="14" t="s">
        <v>85</v>
      </c>
      <c r="J14" s="18">
        <v>3000000.0</v>
      </c>
      <c r="P14" s="21" t="s">
        <v>78</v>
      </c>
      <c r="Q14" s="44">
        <f>S9</f>
        <v>86667</v>
      </c>
      <c r="R14" s="48"/>
    </row>
    <row r="15">
      <c r="C15" s="14" t="s">
        <v>155</v>
      </c>
      <c r="D15" s="18">
        <v>150000.0</v>
      </c>
      <c r="E15" s="45" t="s">
        <v>84</v>
      </c>
      <c r="I15" s="14" t="s">
        <v>91</v>
      </c>
      <c r="J15" s="18">
        <v>4500000.0</v>
      </c>
      <c r="P15" s="34" t="s">
        <v>13</v>
      </c>
      <c r="Q15" s="40">
        <f>Q13*6</f>
        <v>15600000</v>
      </c>
    </row>
    <row r="16">
      <c r="C16" s="14" t="s">
        <v>158</v>
      </c>
      <c r="D16" s="18">
        <v>250000.0</v>
      </c>
      <c r="E16" s="45" t="s">
        <v>90</v>
      </c>
      <c r="I16" s="14" t="s">
        <v>96</v>
      </c>
      <c r="J16" s="45">
        <v>0.0</v>
      </c>
    </row>
    <row r="17">
      <c r="C17" s="14" t="s">
        <v>160</v>
      </c>
      <c r="D17" s="18">
        <v>200000.0</v>
      </c>
      <c r="E17" s="45" t="s">
        <v>94</v>
      </c>
      <c r="I17" s="14" t="s">
        <v>101</v>
      </c>
      <c r="J17" s="18" t="s">
        <v>102</v>
      </c>
    </row>
    <row r="18">
      <c r="C18" s="21" t="s">
        <v>99</v>
      </c>
      <c r="D18" s="22">
        <v>100000.0</v>
      </c>
      <c r="E18" s="45" t="s">
        <v>100</v>
      </c>
      <c r="I18" s="21" t="s">
        <v>104</v>
      </c>
      <c r="J18" s="22">
        <v>275100.0</v>
      </c>
    </row>
    <row r="19">
      <c r="C19" s="34" t="s">
        <v>103</v>
      </c>
      <c r="D19" s="40">
        <f>SUM(D13:D18)</f>
        <v>1350000</v>
      </c>
      <c r="E19" s="50"/>
      <c r="I19" s="29" t="s">
        <v>105</v>
      </c>
      <c r="J19" s="32">
        <v>3301200.0</v>
      </c>
    </row>
    <row r="20">
      <c r="I20" s="29" t="s">
        <v>106</v>
      </c>
      <c r="J20" s="32">
        <v>301200.0</v>
      </c>
    </row>
    <row r="21" ht="15.75" customHeight="1"/>
    <row r="22" ht="15.75" customHeight="1"/>
    <row r="23" ht="15.75" customHeight="1">
      <c r="C23" s="2" t="s">
        <v>107</v>
      </c>
      <c r="D23" s="5"/>
    </row>
    <row r="24" ht="15.75" customHeight="1">
      <c r="C24" s="9" t="s">
        <v>108</v>
      </c>
      <c r="D24" s="11" t="s">
        <v>73</v>
      </c>
    </row>
    <row r="25" ht="15.75" customHeight="1">
      <c r="C25" s="14" t="s">
        <v>163</v>
      </c>
      <c r="D25" s="18">
        <v>2000000.0</v>
      </c>
    </row>
    <row r="26" ht="15.75" customHeight="1">
      <c r="C26" s="14" t="s">
        <v>113</v>
      </c>
      <c r="D26" s="18">
        <v>800000.0</v>
      </c>
    </row>
    <row r="27" ht="15.75" customHeight="1">
      <c r="C27" s="14" t="s">
        <v>164</v>
      </c>
      <c r="D27" s="18">
        <v>2000000.0</v>
      </c>
    </row>
    <row r="28" ht="15.75" customHeight="1">
      <c r="C28" s="14" t="s">
        <v>116</v>
      </c>
      <c r="D28" s="18">
        <v>700000.0</v>
      </c>
    </row>
    <row r="29" ht="15.75" customHeight="1">
      <c r="C29" s="14" t="s">
        <v>117</v>
      </c>
      <c r="D29" s="18">
        <v>500000.0</v>
      </c>
    </row>
    <row r="30" ht="15.75" customHeight="1">
      <c r="C30" s="14" t="s">
        <v>165</v>
      </c>
      <c r="D30" s="18">
        <v>900000.0</v>
      </c>
    </row>
    <row r="31" ht="15.75" customHeight="1">
      <c r="C31" s="14" t="s">
        <v>166</v>
      </c>
      <c r="D31" s="18">
        <v>800000.0</v>
      </c>
    </row>
    <row r="32" ht="15.75" customHeight="1">
      <c r="C32" s="14" t="s">
        <v>123</v>
      </c>
      <c r="D32" s="18">
        <v>1000000.0</v>
      </c>
    </row>
    <row r="33" ht="15.75" customHeight="1">
      <c r="C33" s="14" t="s">
        <v>167</v>
      </c>
      <c r="D33" s="18">
        <v>1800000.0</v>
      </c>
    </row>
    <row r="34" ht="15.75" customHeight="1">
      <c r="C34" s="14" t="s">
        <v>168</v>
      </c>
      <c r="D34" s="18">
        <v>700000.0</v>
      </c>
    </row>
    <row r="35" ht="15.75" customHeight="1">
      <c r="C35" s="14" t="s">
        <v>169</v>
      </c>
      <c r="D35" s="18">
        <v>600000.0</v>
      </c>
    </row>
    <row r="36" ht="15.75" customHeight="1">
      <c r="C36" s="14" t="s">
        <v>160</v>
      </c>
      <c r="D36" s="18">
        <v>400000.0</v>
      </c>
    </row>
    <row r="37" ht="15.75" customHeight="1">
      <c r="C37" s="14" t="s">
        <v>171</v>
      </c>
      <c r="D37" s="18">
        <v>300000.0</v>
      </c>
    </row>
    <row r="38" ht="15.75" customHeight="1">
      <c r="C38" s="21" t="s">
        <v>173</v>
      </c>
      <c r="D38" s="22">
        <v>300000.0</v>
      </c>
    </row>
    <row r="39" ht="15.75" customHeight="1">
      <c r="C39" s="34" t="s">
        <v>131</v>
      </c>
      <c r="D39" s="40">
        <f>SUM(D25:D38)</f>
        <v>12800000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F2"/>
    <mergeCell ref="P2:R2"/>
    <mergeCell ref="I3:J3"/>
    <mergeCell ref="C11:E11"/>
    <mergeCell ref="I11:J11"/>
    <mergeCell ref="P11:Q11"/>
    <mergeCell ref="C23:D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13"/>
    <col customWidth="1" min="3" max="3" width="30.63"/>
    <col customWidth="1" min="4" max="4" width="10.63"/>
    <col customWidth="1" min="5" max="5" width="12.0"/>
    <col customWidth="1" min="6" max="6" width="10.63"/>
    <col customWidth="1" min="7" max="7" width="12.0"/>
    <col customWidth="1" min="8" max="8" width="10.63"/>
    <col customWidth="1" min="9" max="9" width="21.0"/>
    <col customWidth="1" min="10" max="26" width="10.63"/>
  </cols>
  <sheetData>
    <row r="3">
      <c r="B3" s="1" t="s">
        <v>1</v>
      </c>
      <c r="C3" s="3"/>
      <c r="E3" s="1" t="s">
        <v>2</v>
      </c>
      <c r="F3" s="6"/>
      <c r="G3" s="3"/>
    </row>
    <row r="4">
      <c r="B4" s="8" t="s">
        <v>4</v>
      </c>
      <c r="C4" s="10" t="s">
        <v>6</v>
      </c>
      <c r="E4" s="8" t="s">
        <v>7</v>
      </c>
      <c r="F4" s="10" t="s">
        <v>9</v>
      </c>
      <c r="G4" s="10" t="s">
        <v>10</v>
      </c>
    </row>
    <row r="5">
      <c r="B5" s="12" t="s">
        <v>12</v>
      </c>
      <c r="C5" s="13">
        <v>1.56E7</v>
      </c>
      <c r="E5" s="14" t="s">
        <v>15</v>
      </c>
      <c r="F5" s="16">
        <v>0.2</v>
      </c>
      <c r="G5" s="18">
        <v>4600000.0</v>
      </c>
    </row>
    <row r="6">
      <c r="B6" s="14" t="s">
        <v>19</v>
      </c>
      <c r="C6" s="18">
        <v>780000.0</v>
      </c>
      <c r="E6" s="14" t="s">
        <v>20</v>
      </c>
      <c r="F6" s="16">
        <v>0.15</v>
      </c>
      <c r="G6" s="18">
        <v>3450000.0</v>
      </c>
    </row>
    <row r="7">
      <c r="B7" s="14" t="s">
        <v>22</v>
      </c>
      <c r="C7" s="18">
        <v>1350000.0</v>
      </c>
      <c r="E7" s="14" t="s">
        <v>23</v>
      </c>
      <c r="F7" s="16">
        <v>0.2</v>
      </c>
      <c r="G7" s="18">
        <v>4600000.0</v>
      </c>
    </row>
    <row r="8">
      <c r="B8" s="21" t="s">
        <v>25</v>
      </c>
      <c r="C8" s="22">
        <v>500000.0</v>
      </c>
      <c r="E8" s="14" t="s">
        <v>27</v>
      </c>
      <c r="F8" s="16">
        <v>0.2</v>
      </c>
      <c r="G8" s="18">
        <v>4600000.0</v>
      </c>
    </row>
    <row r="9">
      <c r="B9" s="14" t="s">
        <v>28</v>
      </c>
      <c r="C9" s="18">
        <v>1270000.0</v>
      </c>
      <c r="E9" s="14" t="s">
        <v>30</v>
      </c>
      <c r="F9" s="16">
        <v>0.15</v>
      </c>
      <c r="G9" s="18">
        <v>3450000.0</v>
      </c>
    </row>
    <row r="10">
      <c r="B10" s="24" t="s">
        <v>31</v>
      </c>
      <c r="C10" s="25">
        <f>SUM(C5:C9)</f>
        <v>19500000</v>
      </c>
      <c r="E10" s="21" t="s">
        <v>33</v>
      </c>
      <c r="F10" s="26">
        <v>0.1</v>
      </c>
      <c r="G10" s="22">
        <v>2300000.0</v>
      </c>
    </row>
    <row r="11">
      <c r="B11" s="14" t="s">
        <v>35</v>
      </c>
      <c r="C11" s="28">
        <v>3500000.0</v>
      </c>
      <c r="E11" s="29" t="s">
        <v>37</v>
      </c>
      <c r="F11" s="30">
        <v>1.0</v>
      </c>
      <c r="G11" s="32">
        <f>SUM(G5:G10)</f>
        <v>23000000</v>
      </c>
    </row>
    <row r="12">
      <c r="B12" s="33" t="s">
        <v>44</v>
      </c>
      <c r="C12" s="28">
        <f>C10+C11</f>
        <v>23000000</v>
      </c>
    </row>
    <row r="13">
      <c r="B13" s="21" t="s">
        <v>51</v>
      </c>
      <c r="C13" s="35">
        <v>0.152</v>
      </c>
    </row>
    <row r="14">
      <c r="B14" s="29" t="s">
        <v>53</v>
      </c>
      <c r="C14" s="38">
        <f>C12*1.19</f>
        <v>27370000</v>
      </c>
    </row>
    <row r="18">
      <c r="B18" s="39" t="s">
        <v>54</v>
      </c>
      <c r="C18" s="41"/>
      <c r="D18" s="41"/>
      <c r="E18" s="41"/>
      <c r="F18" s="41"/>
      <c r="G18" s="41"/>
      <c r="H18" s="41"/>
      <c r="I18" s="42"/>
    </row>
    <row r="19">
      <c r="B19" s="8" t="s">
        <v>58</v>
      </c>
      <c r="C19" s="10" t="s">
        <v>59</v>
      </c>
      <c r="D19" s="10" t="s">
        <v>15</v>
      </c>
      <c r="E19" s="10" t="s">
        <v>20</v>
      </c>
      <c r="F19" s="10" t="s">
        <v>23</v>
      </c>
      <c r="G19" s="10" t="s">
        <v>27</v>
      </c>
      <c r="H19" s="10" t="s">
        <v>30</v>
      </c>
      <c r="I19" s="10" t="s">
        <v>33</v>
      </c>
    </row>
    <row r="20">
      <c r="B20" s="14" t="s">
        <v>60</v>
      </c>
      <c r="C20" s="18">
        <v>0.0</v>
      </c>
      <c r="D20" s="18">
        <v>4600000.0</v>
      </c>
      <c r="E20" s="18">
        <v>3450000.0</v>
      </c>
      <c r="F20" s="18">
        <v>4600000.0</v>
      </c>
      <c r="G20" s="18">
        <v>4600000.0</v>
      </c>
      <c r="H20" s="18">
        <v>3450000.0</v>
      </c>
      <c r="I20" s="18">
        <v>2300000.0</v>
      </c>
    </row>
    <row r="21" ht="15.75" customHeight="1">
      <c r="B21" s="14" t="s">
        <v>61</v>
      </c>
      <c r="C21" s="18">
        <v>0.0</v>
      </c>
      <c r="D21" s="18">
        <v>0.0</v>
      </c>
      <c r="E21" s="18">
        <v>1594900.0</v>
      </c>
      <c r="F21" s="18">
        <v>2269800.0</v>
      </c>
      <c r="G21" s="18">
        <v>3144700.0</v>
      </c>
      <c r="H21" s="18">
        <v>4019600.0</v>
      </c>
      <c r="I21" s="18">
        <v>4894500.0</v>
      </c>
    </row>
    <row r="22" ht="15.75" customHeight="1">
      <c r="B22" s="14" t="s">
        <v>62</v>
      </c>
      <c r="C22" s="18">
        <v>3000000.0</v>
      </c>
      <c r="D22" s="18">
        <v>0.0</v>
      </c>
      <c r="E22" s="18">
        <v>0.0</v>
      </c>
      <c r="F22" s="18">
        <v>0.0</v>
      </c>
      <c r="G22" s="18">
        <v>0.0</v>
      </c>
      <c r="H22" s="18">
        <v>0.0</v>
      </c>
      <c r="I22" s="18">
        <v>0.0</v>
      </c>
    </row>
    <row r="23" ht="15.75" customHeight="1">
      <c r="B23" s="14" t="s">
        <v>63</v>
      </c>
      <c r="C23" s="18">
        <v>500000.0</v>
      </c>
      <c r="D23" s="18">
        <v>0.0</v>
      </c>
      <c r="E23" s="18">
        <v>0.0</v>
      </c>
      <c r="F23" s="18">
        <v>0.0</v>
      </c>
      <c r="G23" s="18">
        <v>0.0</v>
      </c>
      <c r="H23" s="18">
        <v>0.0</v>
      </c>
      <c r="I23" s="18">
        <v>0.0</v>
      </c>
    </row>
    <row r="24" ht="15.75" customHeight="1">
      <c r="B24" s="14" t="s">
        <v>64</v>
      </c>
      <c r="C24" s="18">
        <v>1500000.0</v>
      </c>
      <c r="D24" s="18">
        <v>0.0</v>
      </c>
      <c r="E24" s="18">
        <v>0.0</v>
      </c>
      <c r="F24" s="18">
        <v>0.0</v>
      </c>
      <c r="G24" s="18">
        <v>0.0</v>
      </c>
      <c r="H24" s="18">
        <v>0.0</v>
      </c>
      <c r="I24" s="18">
        <v>0.0</v>
      </c>
    </row>
    <row r="25" ht="15.75" customHeight="1">
      <c r="B25" s="43" t="s">
        <v>66</v>
      </c>
      <c r="C25" s="44">
        <f t="shared" ref="C25:I25" si="1">SUM(C20:C24)</f>
        <v>5000000</v>
      </c>
      <c r="D25" s="44">
        <f t="shared" si="1"/>
        <v>4600000</v>
      </c>
      <c r="E25" s="44">
        <f t="shared" si="1"/>
        <v>5044900</v>
      </c>
      <c r="F25" s="44">
        <f t="shared" si="1"/>
        <v>6869800</v>
      </c>
      <c r="G25" s="44">
        <f t="shared" si="1"/>
        <v>7744700</v>
      </c>
      <c r="H25" s="44">
        <f t="shared" si="1"/>
        <v>7469600</v>
      </c>
      <c r="I25" s="44">
        <f t="shared" si="1"/>
        <v>7194500</v>
      </c>
    </row>
    <row r="26" ht="15.75" customHeight="1">
      <c r="B26" s="29" t="s">
        <v>72</v>
      </c>
      <c r="C26" s="46" t="s">
        <v>59</v>
      </c>
      <c r="D26" s="46" t="s">
        <v>15</v>
      </c>
      <c r="E26" s="46" t="s">
        <v>20</v>
      </c>
      <c r="F26" s="46" t="s">
        <v>23</v>
      </c>
      <c r="G26" s="46" t="s">
        <v>27</v>
      </c>
      <c r="H26" s="46" t="s">
        <v>30</v>
      </c>
      <c r="I26" s="47" t="s">
        <v>33</v>
      </c>
    </row>
    <row r="27" ht="15.75" customHeight="1">
      <c r="B27" s="12" t="s">
        <v>75</v>
      </c>
      <c r="C27" s="13">
        <v>0.0</v>
      </c>
      <c r="D27" s="13">
        <v>30000.0</v>
      </c>
      <c r="E27" s="13">
        <v>30000.0</v>
      </c>
      <c r="F27" s="13">
        <v>40000.0</v>
      </c>
      <c r="G27" s="13">
        <v>40000.0</v>
      </c>
      <c r="H27" s="13">
        <v>40000.0</v>
      </c>
      <c r="I27" s="13">
        <v>40000.0</v>
      </c>
    </row>
    <row r="28" ht="15.75" customHeight="1">
      <c r="B28" s="14" t="s">
        <v>76</v>
      </c>
      <c r="C28" s="18">
        <v>0.0</v>
      </c>
      <c r="D28" s="18">
        <v>2300000.0</v>
      </c>
      <c r="E28" s="18">
        <v>2300000.0</v>
      </c>
      <c r="F28" s="18">
        <v>2300000.0</v>
      </c>
      <c r="G28" s="18">
        <v>2300000.0</v>
      </c>
      <c r="H28" s="18">
        <v>2300000.0</v>
      </c>
      <c r="I28" s="18">
        <v>2300000.0</v>
      </c>
    </row>
    <row r="29" ht="15.75" customHeight="1">
      <c r="B29" s="14" t="s">
        <v>79</v>
      </c>
      <c r="C29" s="18">
        <v>0.0</v>
      </c>
      <c r="D29" s="18">
        <v>300000.0</v>
      </c>
      <c r="E29" s="18">
        <v>300000.0</v>
      </c>
      <c r="F29" s="18">
        <v>300000.0</v>
      </c>
      <c r="G29" s="18">
        <v>300000.0</v>
      </c>
      <c r="H29" s="18">
        <v>300000.0</v>
      </c>
      <c r="I29" s="18">
        <v>300000.0</v>
      </c>
    </row>
    <row r="30" ht="15.75" customHeight="1">
      <c r="B30" s="14" t="s">
        <v>80</v>
      </c>
      <c r="C30" s="18">
        <v>0.0</v>
      </c>
      <c r="D30" s="18">
        <v>100000.0</v>
      </c>
      <c r="E30" s="18">
        <v>100000.0</v>
      </c>
      <c r="F30" s="18">
        <v>100000.0</v>
      </c>
      <c r="G30" s="18">
        <v>100000.0</v>
      </c>
      <c r="H30" s="18">
        <v>100000.0</v>
      </c>
      <c r="I30" s="18">
        <v>100000.0</v>
      </c>
    </row>
    <row r="31" ht="15.75" customHeight="1">
      <c r="B31" s="14" t="s">
        <v>81</v>
      </c>
      <c r="C31" s="18">
        <v>0.0</v>
      </c>
      <c r="D31" s="18">
        <v>150000.0</v>
      </c>
      <c r="E31" s="18">
        <v>0.0</v>
      </c>
      <c r="F31" s="18">
        <v>0.0</v>
      </c>
      <c r="G31" s="18">
        <v>0.0</v>
      </c>
      <c r="H31" s="18">
        <v>0.0</v>
      </c>
      <c r="I31" s="18">
        <v>0.0</v>
      </c>
    </row>
    <row r="32" ht="15.75" customHeight="1">
      <c r="B32" s="14" t="s">
        <v>82</v>
      </c>
      <c r="C32" s="18">
        <v>0.0</v>
      </c>
      <c r="D32" s="18">
        <v>0.0</v>
      </c>
      <c r="E32" s="18">
        <v>150000.0</v>
      </c>
      <c r="F32" s="18">
        <v>250000.0</v>
      </c>
      <c r="G32" s="18">
        <v>0.0</v>
      </c>
      <c r="H32" s="18">
        <v>0.0</v>
      </c>
      <c r="I32" s="18">
        <v>0.0</v>
      </c>
    </row>
    <row r="33" ht="15.75" customHeight="1">
      <c r="B33" s="14" t="s">
        <v>86</v>
      </c>
      <c r="C33" s="18">
        <v>0.0</v>
      </c>
      <c r="D33" s="18">
        <v>0.0</v>
      </c>
      <c r="E33" s="18">
        <v>0.0</v>
      </c>
      <c r="F33" s="18">
        <v>0.0</v>
      </c>
      <c r="G33" s="18">
        <v>0.0</v>
      </c>
      <c r="H33" s="18">
        <v>200000.0</v>
      </c>
      <c r="I33" s="18">
        <v>0.0</v>
      </c>
    </row>
    <row r="34" ht="15.75" customHeight="1">
      <c r="B34" s="14" t="s">
        <v>87</v>
      </c>
      <c r="C34" s="18">
        <v>0.0</v>
      </c>
      <c r="D34" s="18">
        <v>0.0</v>
      </c>
      <c r="E34" s="18">
        <v>0.0</v>
      </c>
      <c r="F34" s="18">
        <v>0.0</v>
      </c>
      <c r="G34" s="18">
        <v>0.0</v>
      </c>
      <c r="H34" s="18">
        <v>0.0</v>
      </c>
      <c r="I34" s="18">
        <v>100000.0</v>
      </c>
    </row>
    <row r="35" ht="15.75" customHeight="1">
      <c r="B35" s="14" t="s">
        <v>88</v>
      </c>
      <c r="C35" s="18">
        <v>0.0</v>
      </c>
      <c r="D35" s="18">
        <v>275100.0</v>
      </c>
      <c r="E35" s="18">
        <v>275100.0</v>
      </c>
      <c r="F35" s="18">
        <v>275100.0</v>
      </c>
      <c r="G35" s="18">
        <v>275100.0</v>
      </c>
      <c r="H35" s="18">
        <v>275100.0</v>
      </c>
      <c r="I35" s="18">
        <v>275100.0</v>
      </c>
    </row>
    <row r="36" ht="15.75" customHeight="1">
      <c r="B36" s="21" t="s">
        <v>92</v>
      </c>
      <c r="C36" s="22">
        <v>500000.0</v>
      </c>
      <c r="D36" s="22">
        <v>0.0</v>
      </c>
      <c r="E36" s="22">
        <v>0.0</v>
      </c>
      <c r="F36" s="22">
        <v>0.0</v>
      </c>
      <c r="G36" s="22">
        <v>0.0</v>
      </c>
      <c r="H36" s="22">
        <v>0.0</v>
      </c>
      <c r="I36" s="22" t="s">
        <v>95</v>
      </c>
    </row>
    <row r="37" ht="15.75" customHeight="1">
      <c r="B37" s="29" t="s">
        <v>97</v>
      </c>
      <c r="C37" s="49">
        <f t="shared" ref="C37:I37" si="2">SUM(C27:C36)</f>
        <v>500000</v>
      </c>
      <c r="D37" s="49">
        <f t="shared" si="2"/>
        <v>3155100</v>
      </c>
      <c r="E37" s="49">
        <f t="shared" si="2"/>
        <v>3155100</v>
      </c>
      <c r="F37" s="49">
        <f t="shared" si="2"/>
        <v>3265100</v>
      </c>
      <c r="G37" s="49">
        <f t="shared" si="2"/>
        <v>3015100</v>
      </c>
      <c r="H37" s="49">
        <f t="shared" si="2"/>
        <v>3215100</v>
      </c>
      <c r="I37" s="32">
        <f t="shared" si="2"/>
        <v>3115100</v>
      </c>
    </row>
    <row r="38" ht="15.75" customHeight="1">
      <c r="B38" s="51"/>
      <c r="C38" s="52"/>
      <c r="D38" s="52"/>
      <c r="E38" s="52"/>
      <c r="F38" s="52"/>
      <c r="G38" s="52"/>
      <c r="H38" s="52"/>
      <c r="I38" s="52"/>
    </row>
    <row r="39" ht="15.75" customHeight="1">
      <c r="B39" s="53" t="s">
        <v>110</v>
      </c>
      <c r="C39" s="54">
        <f t="shared" ref="C39:D39" si="3">C25-C37</f>
        <v>4500000</v>
      </c>
      <c r="D39" s="54">
        <f t="shared" si="3"/>
        <v>1444900</v>
      </c>
      <c r="E39" s="54">
        <v>294900.0</v>
      </c>
      <c r="F39" s="54">
        <v>1334900.0</v>
      </c>
      <c r="G39" s="54">
        <v>1584900.0</v>
      </c>
      <c r="H39" s="54">
        <v>234900.0</v>
      </c>
      <c r="I39" s="55">
        <v>-815100.0</v>
      </c>
    </row>
    <row r="40" ht="15.75" customHeight="1">
      <c r="B40" s="56" t="s">
        <v>122</v>
      </c>
      <c r="C40" s="57">
        <v>4500000.0</v>
      </c>
      <c r="D40" s="57">
        <v>5944900.0</v>
      </c>
      <c r="E40" s="57">
        <v>6239800.0</v>
      </c>
      <c r="F40" s="57">
        <v>7574700.0</v>
      </c>
      <c r="G40" s="57">
        <v>9159600.0</v>
      </c>
      <c r="H40" s="57">
        <v>9394500.0</v>
      </c>
      <c r="I40" s="58">
        <v>8579400.0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C3"/>
    <mergeCell ref="E3: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63"/>
    <col customWidth="1" min="3" max="3" width="21.88"/>
    <col customWidth="1" min="4" max="4" width="22.13"/>
    <col customWidth="1" min="5" max="5" width="17.88"/>
    <col customWidth="1" min="6" max="6" width="15.13"/>
    <col customWidth="1" min="7" max="8" width="10.63"/>
    <col customWidth="1" min="9" max="9" width="17.13"/>
    <col customWidth="1" min="10" max="10" width="16.63"/>
    <col customWidth="1" min="11" max="15" width="10.63"/>
    <col customWidth="1" min="16" max="16" width="17.13"/>
    <col customWidth="1" min="17" max="17" width="16.63"/>
    <col customWidth="1" min="18" max="18" width="17.63"/>
    <col customWidth="1" min="19" max="19" width="17.25"/>
    <col customWidth="1" min="20" max="20" width="21.25"/>
    <col customWidth="1" min="21" max="26" width="10.63"/>
  </cols>
  <sheetData>
    <row r="2">
      <c r="C2" s="2" t="s">
        <v>0</v>
      </c>
      <c r="D2" s="4"/>
      <c r="E2" s="4"/>
      <c r="F2" s="5"/>
      <c r="P2" s="7" t="s">
        <v>3</v>
      </c>
      <c r="Q2" s="4"/>
      <c r="R2" s="5"/>
    </row>
    <row r="3">
      <c r="C3" s="9" t="s">
        <v>5</v>
      </c>
      <c r="D3" s="11" t="s">
        <v>8</v>
      </c>
      <c r="E3" s="9" t="s">
        <v>11</v>
      </c>
      <c r="F3" s="11" t="s">
        <v>13</v>
      </c>
      <c r="I3" s="2" t="s">
        <v>14</v>
      </c>
      <c r="J3" s="5"/>
      <c r="P3" s="15" t="s">
        <v>16</v>
      </c>
      <c r="Q3" s="17" t="s">
        <v>17</v>
      </c>
      <c r="R3" s="19" t="s">
        <v>18</v>
      </c>
      <c r="S3" s="19" t="s">
        <v>21</v>
      </c>
      <c r="T3" s="20" t="s">
        <v>24</v>
      </c>
    </row>
    <row r="4">
      <c r="C4" s="14" t="s">
        <v>26</v>
      </c>
      <c r="D4" s="18">
        <v>2850000.0</v>
      </c>
      <c r="E4" s="23" t="s">
        <v>29</v>
      </c>
      <c r="F4" s="18">
        <f t="shared" ref="F4:F7" si="1">D4*6</f>
        <v>17100000</v>
      </c>
      <c r="I4" s="9" t="s">
        <v>32</v>
      </c>
      <c r="J4" s="11" t="s">
        <v>6</v>
      </c>
      <c r="P4" s="12" t="s">
        <v>34</v>
      </c>
      <c r="Q4" s="27" t="s">
        <v>36</v>
      </c>
      <c r="R4" s="13">
        <v>700000.0</v>
      </c>
      <c r="S4" s="13">
        <v>23333.0</v>
      </c>
      <c r="T4" s="13">
        <v>3889.0</v>
      </c>
    </row>
    <row r="5">
      <c r="C5" s="14" t="s">
        <v>38</v>
      </c>
      <c r="D5" s="18">
        <v>350000.0</v>
      </c>
      <c r="E5" s="23" t="s">
        <v>29</v>
      </c>
      <c r="F5" s="18">
        <f t="shared" si="1"/>
        <v>2100000</v>
      </c>
      <c r="I5" s="9" t="s">
        <v>39</v>
      </c>
      <c r="J5" s="13">
        <v>500000.0</v>
      </c>
      <c r="P5" s="14" t="s">
        <v>40</v>
      </c>
      <c r="Q5" s="31" t="s">
        <v>41</v>
      </c>
      <c r="R5" s="18">
        <v>750000.0</v>
      </c>
      <c r="S5" s="18">
        <v>25000.0</v>
      </c>
      <c r="T5" s="18">
        <v>4167.0</v>
      </c>
    </row>
    <row r="6">
      <c r="C6" s="14" t="s">
        <v>42</v>
      </c>
      <c r="D6" s="18">
        <v>120000.0</v>
      </c>
      <c r="E6" s="23" t="s">
        <v>29</v>
      </c>
      <c r="F6" s="18">
        <f t="shared" si="1"/>
        <v>720000</v>
      </c>
      <c r="I6" s="9" t="s">
        <v>43</v>
      </c>
      <c r="J6" s="13">
        <v>200000.0</v>
      </c>
      <c r="P6" s="14" t="s">
        <v>45</v>
      </c>
      <c r="Q6" s="31" t="s">
        <v>46</v>
      </c>
      <c r="R6" s="18">
        <v>750000.0</v>
      </c>
      <c r="S6" s="18">
        <v>25000.0</v>
      </c>
      <c r="T6" s="18">
        <v>4167.0</v>
      </c>
    </row>
    <row r="7">
      <c r="C7" s="21" t="s">
        <v>47</v>
      </c>
      <c r="D7" s="22">
        <v>50000.0</v>
      </c>
      <c r="E7" s="23" t="s">
        <v>29</v>
      </c>
      <c r="F7" s="18">
        <f t="shared" si="1"/>
        <v>300000</v>
      </c>
      <c r="I7" s="9" t="s">
        <v>48</v>
      </c>
      <c r="J7" s="13">
        <v>150000.0</v>
      </c>
      <c r="P7" s="14" t="s">
        <v>49</v>
      </c>
      <c r="Q7" s="31" t="s">
        <v>50</v>
      </c>
      <c r="R7" s="18">
        <v>650000.0</v>
      </c>
      <c r="S7" s="18">
        <v>21667.0</v>
      </c>
      <c r="T7" s="18">
        <v>3611.0</v>
      </c>
    </row>
    <row r="8" ht="51.75" customHeight="1">
      <c r="C8" s="34" t="s">
        <v>52</v>
      </c>
      <c r="D8" s="36">
        <f>SUM(D4:D7)</f>
        <v>3370000</v>
      </c>
      <c r="E8" s="37"/>
      <c r="F8" s="40">
        <f>SUM(F4:F7)</f>
        <v>20220000</v>
      </c>
      <c r="I8" s="9" t="s">
        <v>55</v>
      </c>
      <c r="J8" s="13">
        <v>150000.0</v>
      </c>
      <c r="P8" s="21" t="s">
        <v>56</v>
      </c>
      <c r="Q8" s="21" t="s">
        <v>38</v>
      </c>
      <c r="R8" s="22">
        <v>350000.0</v>
      </c>
      <c r="S8" s="22">
        <v>11667.0</v>
      </c>
      <c r="T8" s="22">
        <v>1944.0</v>
      </c>
    </row>
    <row r="9">
      <c r="I9" s="34" t="s">
        <v>57</v>
      </c>
      <c r="J9" s="40">
        <f>SUM(J5:J8)</f>
        <v>1000000</v>
      </c>
      <c r="P9" s="34" t="s">
        <v>37</v>
      </c>
      <c r="Q9" s="37"/>
      <c r="R9" s="36">
        <f t="shared" ref="R9:T9" si="2">SUM(R4:R8)</f>
        <v>3200000</v>
      </c>
      <c r="S9" s="36">
        <f t="shared" si="2"/>
        <v>106667</v>
      </c>
      <c r="T9" s="40">
        <f t="shared" si="2"/>
        <v>17778</v>
      </c>
    </row>
    <row r="11">
      <c r="C11" s="7" t="s">
        <v>65</v>
      </c>
      <c r="D11" s="4"/>
      <c r="E11" s="5"/>
      <c r="P11" s="2" t="s">
        <v>67</v>
      </c>
      <c r="Q11" s="5"/>
    </row>
    <row r="12">
      <c r="C12" s="9" t="s">
        <v>68</v>
      </c>
      <c r="D12" s="11" t="s">
        <v>6</v>
      </c>
      <c r="E12" s="11" t="s">
        <v>7</v>
      </c>
      <c r="I12" s="1" t="s">
        <v>69</v>
      </c>
      <c r="J12" s="3"/>
      <c r="P12" s="9" t="s">
        <v>4</v>
      </c>
      <c r="Q12" s="11" t="s">
        <v>6</v>
      </c>
    </row>
    <row r="13">
      <c r="C13" s="14" t="s">
        <v>70</v>
      </c>
      <c r="D13" s="18">
        <v>200000.0</v>
      </c>
      <c r="E13" s="45" t="s">
        <v>71</v>
      </c>
      <c r="I13" s="8" t="s">
        <v>4</v>
      </c>
      <c r="J13" s="10" t="s">
        <v>73</v>
      </c>
      <c r="P13" s="14" t="s">
        <v>74</v>
      </c>
      <c r="Q13" s="28">
        <f>R9</f>
        <v>3200000</v>
      </c>
    </row>
    <row r="14">
      <c r="C14" s="14" t="s">
        <v>77</v>
      </c>
      <c r="D14" s="18">
        <v>200000.0</v>
      </c>
      <c r="E14" s="45" t="s">
        <v>71</v>
      </c>
      <c r="I14" s="14" t="s">
        <v>25</v>
      </c>
      <c r="J14" s="18">
        <v>1000000.0</v>
      </c>
      <c r="P14" s="21" t="s">
        <v>78</v>
      </c>
      <c r="Q14" s="44">
        <f>S9</f>
        <v>106667</v>
      </c>
      <c r="R14" s="48"/>
    </row>
    <row r="15">
      <c r="C15" s="14" t="s">
        <v>83</v>
      </c>
      <c r="D15" s="18">
        <v>300000.0</v>
      </c>
      <c r="E15" s="45" t="s">
        <v>84</v>
      </c>
      <c r="I15" s="14" t="s">
        <v>85</v>
      </c>
      <c r="J15" s="18">
        <v>4000000.0</v>
      </c>
      <c r="P15" s="34" t="s">
        <v>13</v>
      </c>
      <c r="Q15" s="40">
        <f>Q13*6</f>
        <v>19200000</v>
      </c>
    </row>
    <row r="16">
      <c r="C16" s="14" t="s">
        <v>89</v>
      </c>
      <c r="D16" s="18">
        <v>250000.0</v>
      </c>
      <c r="E16" s="45" t="s">
        <v>90</v>
      </c>
      <c r="I16" s="14" t="s">
        <v>91</v>
      </c>
      <c r="J16" s="18">
        <v>1000000.0</v>
      </c>
    </row>
    <row r="17">
      <c r="C17" s="14" t="s">
        <v>93</v>
      </c>
      <c r="D17" s="18">
        <v>300000.0</v>
      </c>
      <c r="E17" s="45" t="s">
        <v>94</v>
      </c>
      <c r="I17" s="14" t="s">
        <v>96</v>
      </c>
      <c r="J17" s="16" t="s">
        <v>98</v>
      </c>
    </row>
    <row r="18">
      <c r="C18" s="21" t="s">
        <v>99</v>
      </c>
      <c r="D18" s="22">
        <v>150000.0</v>
      </c>
      <c r="E18" s="45" t="s">
        <v>100</v>
      </c>
      <c r="I18" s="14" t="s">
        <v>101</v>
      </c>
      <c r="J18" s="18" t="s">
        <v>102</v>
      </c>
    </row>
    <row r="19">
      <c r="C19" s="34" t="s">
        <v>103</v>
      </c>
      <c r="D19" s="40">
        <f>SUM(D13:D18)</f>
        <v>1400000</v>
      </c>
      <c r="E19" s="50"/>
      <c r="I19" s="21" t="s">
        <v>104</v>
      </c>
      <c r="J19" s="22">
        <v>366720.0</v>
      </c>
    </row>
    <row r="20">
      <c r="I20" s="29" t="s">
        <v>105</v>
      </c>
      <c r="J20" s="32">
        <f>366720*12</f>
        <v>4400640</v>
      </c>
    </row>
    <row r="21" ht="15.75" customHeight="1">
      <c r="I21" s="29" t="s">
        <v>106</v>
      </c>
      <c r="J21" s="32">
        <v>400640.0</v>
      </c>
    </row>
    <row r="22" ht="15.75" customHeight="1"/>
    <row r="23" ht="15.75" customHeight="1">
      <c r="C23" s="2" t="s">
        <v>107</v>
      </c>
      <c r="D23" s="5"/>
    </row>
    <row r="24" ht="15.75" customHeight="1">
      <c r="C24" s="9" t="s">
        <v>108</v>
      </c>
      <c r="D24" s="11" t="s">
        <v>73</v>
      </c>
    </row>
    <row r="25" ht="15.75" customHeight="1">
      <c r="C25" s="14" t="s">
        <v>109</v>
      </c>
      <c r="D25" s="18">
        <v>1000000.0</v>
      </c>
    </row>
    <row r="26" ht="15.75" customHeight="1">
      <c r="C26" s="14" t="s">
        <v>111</v>
      </c>
      <c r="D26" s="18">
        <v>2500000.0</v>
      </c>
    </row>
    <row r="27" ht="15.75" customHeight="1">
      <c r="C27" s="14" t="s">
        <v>112</v>
      </c>
      <c r="D27" s="18">
        <v>2500000.0</v>
      </c>
    </row>
    <row r="28" ht="15.75" customHeight="1">
      <c r="C28" s="14" t="s">
        <v>113</v>
      </c>
      <c r="D28" s="18">
        <v>1000000.0</v>
      </c>
    </row>
    <row r="29" ht="15.75" customHeight="1">
      <c r="C29" s="14" t="s">
        <v>114</v>
      </c>
      <c r="D29" s="18">
        <v>2000000.0</v>
      </c>
    </row>
    <row r="30" ht="15.75" customHeight="1">
      <c r="C30" s="14" t="s">
        <v>115</v>
      </c>
      <c r="D30" s="18">
        <v>2500000.0</v>
      </c>
    </row>
    <row r="31" ht="15.75" customHeight="1">
      <c r="C31" s="14" t="s">
        <v>116</v>
      </c>
      <c r="D31" s="18">
        <v>800000.0</v>
      </c>
    </row>
    <row r="32" ht="15.75" customHeight="1">
      <c r="C32" s="14" t="s">
        <v>117</v>
      </c>
      <c r="D32" s="18">
        <v>600000.0</v>
      </c>
    </row>
    <row r="33" ht="15.75" customHeight="1">
      <c r="C33" s="14" t="s">
        <v>118</v>
      </c>
      <c r="D33" s="18">
        <v>1200000.0</v>
      </c>
    </row>
    <row r="34" ht="15.75" customHeight="1">
      <c r="C34" s="14" t="s">
        <v>119</v>
      </c>
      <c r="D34" s="18">
        <v>1200000.0</v>
      </c>
    </row>
    <row r="35" ht="15.75" customHeight="1">
      <c r="C35" s="14" t="s">
        <v>120</v>
      </c>
      <c r="D35" s="18">
        <v>900000.0</v>
      </c>
    </row>
    <row r="36" ht="15.75" customHeight="1">
      <c r="C36" s="14" t="s">
        <v>121</v>
      </c>
      <c r="D36" s="18">
        <v>600000.0</v>
      </c>
    </row>
    <row r="37" ht="15.75" customHeight="1">
      <c r="C37" s="14" t="s">
        <v>123</v>
      </c>
      <c r="D37" s="18">
        <v>1200000.0</v>
      </c>
    </row>
    <row r="38" ht="15.75" customHeight="1">
      <c r="C38" s="21" t="s">
        <v>124</v>
      </c>
      <c r="D38" s="18">
        <v>500000.0</v>
      </c>
    </row>
    <row r="39" ht="15.75" customHeight="1">
      <c r="C39" s="14" t="s">
        <v>125</v>
      </c>
      <c r="D39" s="18">
        <v>1200000.0</v>
      </c>
    </row>
    <row r="40" ht="15.75" customHeight="1">
      <c r="C40" s="14" t="s">
        <v>126</v>
      </c>
      <c r="D40" s="18">
        <v>700000.0</v>
      </c>
    </row>
    <row r="41" ht="15.75" customHeight="1">
      <c r="C41" s="14" t="s">
        <v>127</v>
      </c>
      <c r="D41" s="18">
        <v>700000.0</v>
      </c>
    </row>
    <row r="42" ht="15.75" customHeight="1">
      <c r="C42" s="14" t="s">
        <v>128</v>
      </c>
      <c r="D42" s="18">
        <v>800000.0</v>
      </c>
    </row>
    <row r="43" ht="15.75" customHeight="1">
      <c r="C43" s="14" t="s">
        <v>93</v>
      </c>
      <c r="D43" s="18">
        <v>500000.0</v>
      </c>
    </row>
    <row r="44" ht="15.75" customHeight="1">
      <c r="C44" s="14" t="s">
        <v>129</v>
      </c>
      <c r="D44" s="18">
        <v>300000.0</v>
      </c>
    </row>
    <row r="45" ht="15.75" customHeight="1">
      <c r="C45" s="14" t="s">
        <v>130</v>
      </c>
      <c r="D45" s="18">
        <v>300000.0</v>
      </c>
    </row>
    <row r="46" ht="15.75" customHeight="1">
      <c r="C46" s="34" t="s">
        <v>131</v>
      </c>
      <c r="D46" s="40">
        <f>SUM(D25:D45)</f>
        <v>23000000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F2"/>
    <mergeCell ref="P2:R2"/>
    <mergeCell ref="I3:J3"/>
    <mergeCell ref="C11:E11"/>
    <mergeCell ref="P11:Q11"/>
    <mergeCell ref="I12:J12"/>
    <mergeCell ref="C23:D2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13"/>
    <col customWidth="1" min="3" max="3" width="30.63"/>
    <col customWidth="1" min="4" max="4" width="10.63"/>
    <col customWidth="1" min="5" max="5" width="12.0"/>
    <col customWidth="1" min="6" max="6" width="10.63"/>
    <col customWidth="1" min="7" max="8" width="12.0"/>
    <col customWidth="1" min="9" max="9" width="21.0"/>
    <col customWidth="1" min="10" max="26" width="10.63"/>
  </cols>
  <sheetData>
    <row r="3">
      <c r="B3" s="1" t="s">
        <v>132</v>
      </c>
      <c r="C3" s="3"/>
      <c r="E3" s="1" t="s">
        <v>2</v>
      </c>
      <c r="F3" s="6"/>
      <c r="G3" s="3"/>
    </row>
    <row r="4">
      <c r="B4" s="8" t="s">
        <v>4</v>
      </c>
      <c r="C4" s="10" t="s">
        <v>6</v>
      </c>
      <c r="E4" s="8" t="s">
        <v>7</v>
      </c>
      <c r="F4" s="10" t="s">
        <v>9</v>
      </c>
      <c r="G4" s="10" t="s">
        <v>10</v>
      </c>
    </row>
    <row r="5">
      <c r="B5" s="12" t="s">
        <v>12</v>
      </c>
      <c r="C5" s="13">
        <v>1.92E7</v>
      </c>
      <c r="E5" s="14" t="s">
        <v>15</v>
      </c>
      <c r="F5" s="16">
        <v>0.2</v>
      </c>
      <c r="G5" s="18">
        <v>6200000.0</v>
      </c>
    </row>
    <row r="6">
      <c r="B6" s="14" t="s">
        <v>19</v>
      </c>
      <c r="C6" s="18">
        <v>3120000.0</v>
      </c>
      <c r="E6" s="14" t="s">
        <v>20</v>
      </c>
      <c r="F6" s="16">
        <v>0.15</v>
      </c>
      <c r="G6" s="18">
        <v>4650000.0</v>
      </c>
    </row>
    <row r="7">
      <c r="B7" s="14" t="s">
        <v>22</v>
      </c>
      <c r="C7" s="18">
        <v>1400000.0</v>
      </c>
      <c r="E7" s="14" t="s">
        <v>23</v>
      </c>
      <c r="F7" s="16">
        <v>0.2</v>
      </c>
      <c r="G7" s="18">
        <v>6200000.0</v>
      </c>
    </row>
    <row r="8">
      <c r="B8" s="14" t="s">
        <v>25</v>
      </c>
      <c r="C8" s="18">
        <v>1000000.0</v>
      </c>
      <c r="E8" s="14" t="s">
        <v>27</v>
      </c>
      <c r="F8" s="16">
        <v>0.2</v>
      </c>
      <c r="G8" s="18">
        <v>6200000.0</v>
      </c>
    </row>
    <row r="9">
      <c r="B9" s="21" t="s">
        <v>28</v>
      </c>
      <c r="C9" s="59">
        <v>1280000.0</v>
      </c>
      <c r="E9" s="14" t="s">
        <v>30</v>
      </c>
      <c r="F9" s="16">
        <v>0.15</v>
      </c>
      <c r="G9" s="18">
        <v>4650000.0</v>
      </c>
    </row>
    <row r="10">
      <c r="B10" s="60" t="s">
        <v>31</v>
      </c>
      <c r="C10" s="61">
        <f>SUM(C5:C9)</f>
        <v>26000000</v>
      </c>
      <c r="E10" s="21" t="s">
        <v>33</v>
      </c>
      <c r="F10" s="26">
        <v>0.1</v>
      </c>
      <c r="G10" s="22">
        <v>3100000.0</v>
      </c>
    </row>
    <row r="11">
      <c r="B11" s="14" t="s">
        <v>136</v>
      </c>
      <c r="C11" s="18">
        <v>5000000.0</v>
      </c>
      <c r="E11" s="29" t="s">
        <v>37</v>
      </c>
      <c r="F11" s="30">
        <v>1.0</v>
      </c>
      <c r="G11" s="32">
        <f>SUM(G5:G10)</f>
        <v>31000000</v>
      </c>
    </row>
    <row r="12">
      <c r="B12" s="33" t="s">
        <v>44</v>
      </c>
      <c r="C12" s="28">
        <f>SUM(C10:C11)</f>
        <v>31000000</v>
      </c>
    </row>
    <row r="13">
      <c r="B13" s="21" t="s">
        <v>51</v>
      </c>
      <c r="C13" s="62">
        <v>0.161</v>
      </c>
    </row>
    <row r="14">
      <c r="B14" s="63" t="s">
        <v>53</v>
      </c>
      <c r="C14" s="66">
        <f>C12*1.19</f>
        <v>36890000</v>
      </c>
    </row>
    <row r="18">
      <c r="B18" s="67" t="s">
        <v>145</v>
      </c>
      <c r="C18" s="68"/>
      <c r="D18" s="68"/>
      <c r="E18" s="68"/>
      <c r="F18" s="68"/>
      <c r="G18" s="68"/>
      <c r="H18" s="68"/>
      <c r="I18" s="69"/>
    </row>
    <row r="19">
      <c r="B19" s="8" t="s">
        <v>58</v>
      </c>
      <c r="C19" s="10" t="s">
        <v>59</v>
      </c>
      <c r="D19" s="10" t="s">
        <v>15</v>
      </c>
      <c r="E19" s="10" t="s">
        <v>20</v>
      </c>
      <c r="F19" s="10" t="s">
        <v>23</v>
      </c>
      <c r="G19" s="10" t="s">
        <v>27</v>
      </c>
      <c r="H19" s="10" t="s">
        <v>30</v>
      </c>
      <c r="I19" s="10" t="s">
        <v>33</v>
      </c>
    </row>
    <row r="20">
      <c r="B20" s="14" t="s">
        <v>60</v>
      </c>
      <c r="C20" s="18"/>
      <c r="D20" s="18">
        <v>6200000.0</v>
      </c>
      <c r="E20" s="18">
        <v>4650000.0</v>
      </c>
      <c r="F20" s="18">
        <v>6200000.0</v>
      </c>
      <c r="G20" s="18">
        <v>6200000.0</v>
      </c>
      <c r="H20" s="18">
        <v>4650000.0</v>
      </c>
      <c r="I20" s="18">
        <v>3100000.0</v>
      </c>
    </row>
    <row r="21" ht="15.75" customHeight="1">
      <c r="B21" s="14" t="s">
        <v>61</v>
      </c>
      <c r="C21" s="18"/>
      <c r="D21" s="18"/>
      <c r="F21" s="18"/>
      <c r="G21" s="18"/>
      <c r="H21" s="18"/>
      <c r="I21" s="18"/>
    </row>
    <row r="22" ht="15.75" customHeight="1">
      <c r="B22" s="14" t="s">
        <v>62</v>
      </c>
      <c r="C22" s="18">
        <v>4000000.0</v>
      </c>
      <c r="D22" s="18"/>
      <c r="E22" s="18"/>
      <c r="F22" s="18"/>
      <c r="G22" s="18"/>
      <c r="H22" s="18"/>
      <c r="I22" s="18"/>
    </row>
    <row r="23" ht="15.75" customHeight="1">
      <c r="B23" s="14" t="s">
        <v>63</v>
      </c>
      <c r="C23" s="18"/>
      <c r="D23" s="18"/>
      <c r="E23" s="18"/>
      <c r="F23" s="18"/>
      <c r="G23" s="18"/>
      <c r="H23" s="18"/>
      <c r="I23" s="18"/>
    </row>
    <row r="24" ht="15.75" customHeight="1">
      <c r="B24" s="14" t="s">
        <v>64</v>
      </c>
      <c r="C24" s="18">
        <v>1000000.0</v>
      </c>
      <c r="D24" s="18"/>
      <c r="E24" s="18"/>
      <c r="F24" s="18"/>
      <c r="G24" s="18"/>
      <c r="H24" s="18"/>
      <c r="I24" s="18"/>
    </row>
    <row r="25" ht="15.75" customHeight="1">
      <c r="B25" s="43" t="s">
        <v>66</v>
      </c>
      <c r="C25" s="44">
        <f t="shared" ref="C25:I25" si="1">SUM(C20:C24)</f>
        <v>5000000</v>
      </c>
      <c r="D25" s="44">
        <f t="shared" si="1"/>
        <v>6200000</v>
      </c>
      <c r="E25" s="44">
        <f t="shared" si="1"/>
        <v>4650000</v>
      </c>
      <c r="F25" s="44">
        <f t="shared" si="1"/>
        <v>6200000</v>
      </c>
      <c r="G25" s="44">
        <f t="shared" si="1"/>
        <v>6200000</v>
      </c>
      <c r="H25" s="44">
        <f t="shared" si="1"/>
        <v>4650000</v>
      </c>
      <c r="I25" s="44">
        <f t="shared" si="1"/>
        <v>3100000</v>
      </c>
    </row>
    <row r="26" ht="15.75" customHeight="1">
      <c r="B26" s="29" t="s">
        <v>72</v>
      </c>
      <c r="C26" s="46" t="s">
        <v>59</v>
      </c>
      <c r="D26" s="46" t="s">
        <v>15</v>
      </c>
      <c r="E26" s="46" t="s">
        <v>20</v>
      </c>
      <c r="F26" s="46" t="s">
        <v>23</v>
      </c>
      <c r="G26" s="46" t="s">
        <v>27</v>
      </c>
      <c r="H26" s="46" t="s">
        <v>30</v>
      </c>
      <c r="I26" s="47" t="s">
        <v>33</v>
      </c>
    </row>
    <row r="27" ht="15.75" customHeight="1">
      <c r="B27" s="12" t="s">
        <v>75</v>
      </c>
      <c r="C27" s="13"/>
      <c r="D27" s="13">
        <v>30000.0</v>
      </c>
      <c r="E27" s="13">
        <v>40000.0</v>
      </c>
      <c r="F27" s="13">
        <v>50000.0</v>
      </c>
      <c r="G27" s="13">
        <v>60000.0</v>
      </c>
      <c r="H27" s="13">
        <v>70000.0</v>
      </c>
      <c r="I27" s="13">
        <v>70000.0</v>
      </c>
    </row>
    <row r="28" ht="15.75" customHeight="1">
      <c r="B28" s="14" t="s">
        <v>76</v>
      </c>
      <c r="C28" s="18"/>
      <c r="D28" s="18">
        <v>2850000.0</v>
      </c>
      <c r="E28" s="18">
        <v>2850000.0</v>
      </c>
      <c r="F28" s="18">
        <v>2850000.0</v>
      </c>
      <c r="G28" s="18">
        <v>2850000.0</v>
      </c>
      <c r="H28" s="18">
        <v>2850000.0</v>
      </c>
      <c r="I28" s="18">
        <v>2850000.0</v>
      </c>
    </row>
    <row r="29" ht="15.75" customHeight="1">
      <c r="B29" s="14" t="s">
        <v>79</v>
      </c>
      <c r="C29" s="18"/>
      <c r="D29" s="18">
        <v>350000.0</v>
      </c>
      <c r="E29" s="18">
        <v>350000.0</v>
      </c>
      <c r="F29" s="18">
        <v>350000.0</v>
      </c>
      <c r="G29" s="18">
        <v>350000.0</v>
      </c>
      <c r="H29" s="18">
        <v>350000.0</v>
      </c>
      <c r="I29" s="18">
        <v>350000.0</v>
      </c>
    </row>
    <row r="30" ht="15.75" customHeight="1">
      <c r="B30" s="14" t="s">
        <v>80</v>
      </c>
      <c r="C30" s="18"/>
      <c r="D30" s="18">
        <v>120000.0</v>
      </c>
      <c r="E30" s="18">
        <v>120000.0</v>
      </c>
      <c r="F30" s="18">
        <v>120000.0</v>
      </c>
      <c r="G30" s="18">
        <v>120000.0</v>
      </c>
      <c r="H30" s="18">
        <v>120000.0</v>
      </c>
      <c r="I30" s="18">
        <v>120000.0</v>
      </c>
    </row>
    <row r="31" ht="15.75" customHeight="1">
      <c r="B31" s="14" t="s">
        <v>81</v>
      </c>
      <c r="C31" s="18"/>
      <c r="D31" s="18">
        <v>200000.0</v>
      </c>
      <c r="E31" s="18"/>
      <c r="F31" s="18"/>
      <c r="G31" s="18"/>
      <c r="H31" s="18"/>
      <c r="I31" s="18"/>
    </row>
    <row r="32" ht="15.75" customHeight="1">
      <c r="B32" s="14" t="s">
        <v>152</v>
      </c>
      <c r="C32" s="18"/>
      <c r="D32" s="18"/>
      <c r="E32" s="18">
        <v>200000.0</v>
      </c>
      <c r="F32" s="18"/>
      <c r="G32" s="18"/>
      <c r="H32" s="18"/>
      <c r="I32" s="18"/>
    </row>
    <row r="33" ht="15.75" customHeight="1">
      <c r="B33" s="14" t="s">
        <v>153</v>
      </c>
      <c r="C33" s="18"/>
      <c r="D33" s="18"/>
      <c r="E33" s="18"/>
      <c r="F33" s="18">
        <v>300000.0</v>
      </c>
      <c r="G33" s="18">
        <v>250000.0</v>
      </c>
      <c r="H33" s="18"/>
      <c r="I33" s="18"/>
    </row>
    <row r="34" ht="15.75" customHeight="1">
      <c r="B34" s="14" t="s">
        <v>154</v>
      </c>
      <c r="C34" s="18"/>
      <c r="D34" s="18"/>
      <c r="E34" s="18"/>
      <c r="F34" s="18"/>
      <c r="G34" s="18"/>
      <c r="H34" s="18">
        <v>300000.0</v>
      </c>
      <c r="I34" s="18"/>
    </row>
    <row r="35" ht="15.75" customHeight="1">
      <c r="B35" s="51" t="s">
        <v>157</v>
      </c>
      <c r="C35" s="18"/>
      <c r="D35" s="18"/>
      <c r="E35" s="18"/>
      <c r="F35" s="18"/>
      <c r="G35" s="18"/>
      <c r="H35" s="18"/>
      <c r="I35" s="18">
        <v>150000.0</v>
      </c>
    </row>
    <row r="36" ht="15.75" customHeight="1">
      <c r="B36" s="14" t="s">
        <v>88</v>
      </c>
      <c r="C36" s="18"/>
      <c r="D36" s="18">
        <v>366720.0</v>
      </c>
      <c r="E36" s="18">
        <v>366720.0</v>
      </c>
      <c r="F36" s="18">
        <v>366720.0</v>
      </c>
      <c r="G36" s="18">
        <v>366720.0</v>
      </c>
      <c r="H36" s="18">
        <v>366720.0</v>
      </c>
      <c r="I36" s="18">
        <v>366720.0</v>
      </c>
    </row>
    <row r="37" ht="15.75" customHeight="1">
      <c r="B37" s="21" t="s">
        <v>92</v>
      </c>
      <c r="C37" s="22">
        <v>1000000.0</v>
      </c>
      <c r="D37" s="22"/>
      <c r="E37" s="22"/>
      <c r="F37" s="22"/>
      <c r="G37" s="22"/>
      <c r="H37" s="22"/>
      <c r="I37" s="22"/>
    </row>
    <row r="38" ht="15.75" customHeight="1">
      <c r="B38" s="29" t="s">
        <v>97</v>
      </c>
      <c r="C38" s="49">
        <f t="shared" ref="C38:I38" si="2">SUM(C27:C37)</f>
        <v>1000000</v>
      </c>
      <c r="D38" s="49">
        <f t="shared" si="2"/>
        <v>3916720</v>
      </c>
      <c r="E38" s="49">
        <f t="shared" si="2"/>
        <v>3926720</v>
      </c>
      <c r="F38" s="49">
        <f t="shared" si="2"/>
        <v>4036720</v>
      </c>
      <c r="G38" s="49">
        <f t="shared" si="2"/>
        <v>3996720</v>
      </c>
      <c r="H38" s="49">
        <f t="shared" si="2"/>
        <v>4056720</v>
      </c>
      <c r="I38" s="32">
        <f t="shared" si="2"/>
        <v>3906720</v>
      </c>
    </row>
    <row r="39" ht="15.75" customHeight="1">
      <c r="B39" s="51"/>
      <c r="C39" s="52"/>
      <c r="D39" s="52"/>
      <c r="E39" s="52"/>
      <c r="F39" s="52"/>
      <c r="G39" s="52"/>
      <c r="H39" s="52"/>
      <c r="I39" s="52"/>
    </row>
    <row r="40" ht="15.75" customHeight="1">
      <c r="B40" s="53" t="s">
        <v>110</v>
      </c>
      <c r="C40" s="54">
        <f t="shared" ref="C40:H40" si="3">C25-C38</f>
        <v>4000000</v>
      </c>
      <c r="D40" s="54">
        <f t="shared" si="3"/>
        <v>2283280</v>
      </c>
      <c r="E40" s="54">
        <f t="shared" si="3"/>
        <v>723280</v>
      </c>
      <c r="F40" s="54">
        <f t="shared" si="3"/>
        <v>2163280</v>
      </c>
      <c r="G40" s="54">
        <f t="shared" si="3"/>
        <v>2203280</v>
      </c>
      <c r="H40" s="54">
        <f t="shared" si="3"/>
        <v>593280</v>
      </c>
      <c r="I40" s="55">
        <v>-806720.0</v>
      </c>
    </row>
    <row r="41" ht="15.75" customHeight="1">
      <c r="B41" s="56" t="s">
        <v>122</v>
      </c>
      <c r="C41" s="57">
        <f>C40+C20</f>
        <v>4000000</v>
      </c>
      <c r="D41" s="57">
        <f t="shared" ref="D41:I41" si="4">C41+D40</f>
        <v>6283280</v>
      </c>
      <c r="E41" s="57">
        <f t="shared" si="4"/>
        <v>7006560</v>
      </c>
      <c r="F41" s="57">
        <f t="shared" si="4"/>
        <v>9169840</v>
      </c>
      <c r="G41" s="57">
        <f t="shared" si="4"/>
        <v>11373120</v>
      </c>
      <c r="H41" s="57">
        <f t="shared" si="4"/>
        <v>11966400</v>
      </c>
      <c r="I41" s="57">
        <f t="shared" si="4"/>
        <v>11159680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C3"/>
    <mergeCell ref="E3:G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63"/>
    <col customWidth="1" min="3" max="3" width="21.88"/>
    <col customWidth="1" min="4" max="4" width="22.13"/>
    <col customWidth="1" min="5" max="5" width="17.88"/>
    <col customWidth="1" min="6" max="6" width="15.13"/>
    <col customWidth="1" min="7" max="8" width="10.63"/>
    <col customWidth="1" min="9" max="9" width="17.13"/>
    <col customWidth="1" min="10" max="10" width="16.63"/>
    <col customWidth="1" min="11" max="15" width="10.63"/>
    <col customWidth="1" min="16" max="16" width="17.13"/>
    <col customWidth="1" min="17" max="17" width="16.63"/>
    <col customWidth="1" min="18" max="18" width="17.63"/>
    <col customWidth="1" min="19" max="19" width="17.25"/>
    <col customWidth="1" min="20" max="20" width="21.25"/>
    <col customWidth="1" min="21" max="26" width="10.63"/>
  </cols>
  <sheetData>
    <row r="2">
      <c r="C2" s="2" t="s">
        <v>0</v>
      </c>
      <c r="D2" s="4"/>
      <c r="E2" s="4"/>
      <c r="F2" s="5"/>
      <c r="P2" s="7" t="s">
        <v>3</v>
      </c>
      <c r="Q2" s="4"/>
      <c r="R2" s="5"/>
    </row>
    <row r="3">
      <c r="C3" s="9" t="s">
        <v>5</v>
      </c>
      <c r="D3" s="11" t="s">
        <v>8</v>
      </c>
      <c r="E3" s="9" t="s">
        <v>11</v>
      </c>
      <c r="F3" s="11" t="s">
        <v>13</v>
      </c>
      <c r="I3" s="2" t="s">
        <v>133</v>
      </c>
      <c r="J3" s="5"/>
      <c r="P3" s="15" t="s">
        <v>16</v>
      </c>
      <c r="Q3" s="17" t="s">
        <v>17</v>
      </c>
      <c r="R3" s="19" t="s">
        <v>18</v>
      </c>
      <c r="S3" s="19" t="s">
        <v>21</v>
      </c>
      <c r="T3" s="20" t="s">
        <v>24</v>
      </c>
    </row>
    <row r="4">
      <c r="C4" s="14" t="s">
        <v>135</v>
      </c>
      <c r="D4" s="18">
        <v>3450000.0</v>
      </c>
      <c r="E4" s="23" t="s">
        <v>29</v>
      </c>
      <c r="F4" s="18">
        <f t="shared" ref="F4:F8" si="1">D4*6</f>
        <v>20700000</v>
      </c>
      <c r="I4" s="9" t="s">
        <v>32</v>
      </c>
      <c r="J4" s="11" t="s">
        <v>6</v>
      </c>
      <c r="P4" s="12" t="s">
        <v>34</v>
      </c>
      <c r="Q4" s="27" t="s">
        <v>36</v>
      </c>
      <c r="R4" s="13">
        <v>850000.0</v>
      </c>
      <c r="S4" s="13">
        <v>28333.0</v>
      </c>
      <c r="T4" s="13">
        <v>4722.0</v>
      </c>
    </row>
    <row r="5">
      <c r="C5" s="14" t="s">
        <v>138</v>
      </c>
      <c r="D5" s="18">
        <v>450000.0</v>
      </c>
      <c r="E5" s="23" t="s">
        <v>29</v>
      </c>
      <c r="F5" s="18">
        <f t="shared" si="1"/>
        <v>2700000</v>
      </c>
      <c r="I5" s="9" t="s">
        <v>141</v>
      </c>
      <c r="J5" s="65">
        <v>700000.0</v>
      </c>
      <c r="P5" s="14" t="s">
        <v>40</v>
      </c>
      <c r="Q5" s="31" t="s">
        <v>41</v>
      </c>
      <c r="R5" s="18">
        <v>900000.0</v>
      </c>
      <c r="S5" s="18">
        <v>30000.0</v>
      </c>
      <c r="T5" s="18">
        <v>5000.0</v>
      </c>
    </row>
    <row r="6">
      <c r="C6" s="14" t="s">
        <v>143</v>
      </c>
      <c r="D6" s="18">
        <v>200000.0</v>
      </c>
      <c r="E6" s="23" t="s">
        <v>29</v>
      </c>
      <c r="F6" s="18">
        <f t="shared" si="1"/>
        <v>1200000</v>
      </c>
      <c r="I6" s="9" t="s">
        <v>144</v>
      </c>
      <c r="J6" s="65">
        <v>400000.0</v>
      </c>
      <c r="P6" s="14" t="s">
        <v>45</v>
      </c>
      <c r="Q6" s="31" t="s">
        <v>46</v>
      </c>
      <c r="R6" s="18">
        <v>900000.0</v>
      </c>
      <c r="S6" s="18">
        <v>30000.0</v>
      </c>
      <c r="T6" s="18">
        <v>5000.0</v>
      </c>
    </row>
    <row r="7">
      <c r="C7" s="21" t="s">
        <v>80</v>
      </c>
      <c r="D7" s="22">
        <v>180000.0</v>
      </c>
      <c r="E7" s="23" t="s">
        <v>29</v>
      </c>
      <c r="F7" s="18">
        <f t="shared" si="1"/>
        <v>1080000</v>
      </c>
      <c r="I7" s="9" t="s">
        <v>146</v>
      </c>
      <c r="J7" s="65">
        <v>200000.0</v>
      </c>
      <c r="P7" s="14" t="s">
        <v>49</v>
      </c>
      <c r="Q7" s="31" t="s">
        <v>50</v>
      </c>
      <c r="R7" s="18">
        <v>800000.0</v>
      </c>
      <c r="S7" s="18">
        <v>26667.0</v>
      </c>
      <c r="T7" s="18">
        <v>4444.0</v>
      </c>
    </row>
    <row r="8" ht="54.75" customHeight="1">
      <c r="C8" s="21" t="s">
        <v>147</v>
      </c>
      <c r="D8" s="22">
        <v>70000.0</v>
      </c>
      <c r="E8" s="23" t="s">
        <v>29</v>
      </c>
      <c r="F8" s="18">
        <f t="shared" si="1"/>
        <v>420000</v>
      </c>
      <c r="I8" s="8" t="s">
        <v>55</v>
      </c>
      <c r="J8" s="28">
        <v>200000.0</v>
      </c>
      <c r="P8" s="21" t="s">
        <v>56</v>
      </c>
      <c r="Q8" s="21" t="s">
        <v>38</v>
      </c>
      <c r="R8" s="22">
        <v>450000.0</v>
      </c>
      <c r="S8" s="22">
        <v>15000.0</v>
      </c>
      <c r="T8" s="22">
        <v>2500.0</v>
      </c>
    </row>
    <row r="9">
      <c r="C9" s="34" t="s">
        <v>52</v>
      </c>
      <c r="D9" s="36">
        <f>SUM(D4:D8)</f>
        <v>4350000</v>
      </c>
      <c r="E9" s="37"/>
      <c r="F9" s="40">
        <f>SUM(F4:F8)</f>
        <v>26100000</v>
      </c>
      <c r="I9" s="8" t="s">
        <v>148</v>
      </c>
      <c r="J9" s="28">
        <v>200000.0</v>
      </c>
      <c r="P9" s="34" t="s">
        <v>37</v>
      </c>
      <c r="Q9" s="37"/>
      <c r="R9" s="36">
        <f t="shared" ref="R9:T9" si="2">SUM(R4:R8)</f>
        <v>3900000</v>
      </c>
      <c r="S9" s="36">
        <f t="shared" si="2"/>
        <v>130000</v>
      </c>
      <c r="T9" s="40">
        <f t="shared" si="2"/>
        <v>21666</v>
      </c>
    </row>
    <row r="10">
      <c r="I10" s="34" t="s">
        <v>57</v>
      </c>
      <c r="J10" s="40">
        <f>SUM(J5:J9)</f>
        <v>1700000</v>
      </c>
    </row>
    <row r="11">
      <c r="P11" s="2" t="s">
        <v>67</v>
      </c>
      <c r="Q11" s="5"/>
    </row>
    <row r="12">
      <c r="C12" s="7" t="s">
        <v>65</v>
      </c>
      <c r="D12" s="4"/>
      <c r="E12" s="5"/>
      <c r="P12" s="9" t="s">
        <v>4</v>
      </c>
      <c r="Q12" s="11" t="s">
        <v>6</v>
      </c>
    </row>
    <row r="13">
      <c r="C13" s="9" t="s">
        <v>68</v>
      </c>
      <c r="D13" s="11" t="s">
        <v>6</v>
      </c>
      <c r="E13" s="11" t="s">
        <v>7</v>
      </c>
      <c r="I13" s="1" t="s">
        <v>69</v>
      </c>
      <c r="J13" s="3"/>
      <c r="P13" s="14" t="s">
        <v>74</v>
      </c>
      <c r="Q13" s="28">
        <f>R9</f>
        <v>3900000</v>
      </c>
    </row>
    <row r="14">
      <c r="C14" s="14" t="s">
        <v>150</v>
      </c>
      <c r="D14" s="18">
        <v>300000.0</v>
      </c>
      <c r="E14" s="45" t="s">
        <v>71</v>
      </c>
      <c r="I14" s="8" t="s">
        <v>4</v>
      </c>
      <c r="J14" s="10" t="s">
        <v>73</v>
      </c>
      <c r="P14" s="21" t="s">
        <v>78</v>
      </c>
      <c r="Q14" s="44">
        <f>S9</f>
        <v>130000</v>
      </c>
      <c r="R14" s="48"/>
    </row>
    <row r="15">
      <c r="C15" s="14" t="s">
        <v>156</v>
      </c>
      <c r="D15" s="18">
        <v>400000.0</v>
      </c>
      <c r="E15" s="45" t="s">
        <v>71</v>
      </c>
      <c r="I15" s="14" t="s">
        <v>25</v>
      </c>
      <c r="J15" s="18">
        <v>1700000.0</v>
      </c>
      <c r="P15" s="34" t="s">
        <v>13</v>
      </c>
      <c r="Q15" s="40">
        <f>Q13*6</f>
        <v>23400000</v>
      </c>
    </row>
    <row r="16">
      <c r="C16" s="14" t="s">
        <v>159</v>
      </c>
      <c r="D16" s="18">
        <v>400000.0</v>
      </c>
      <c r="E16" s="45" t="s">
        <v>84</v>
      </c>
      <c r="I16" s="14" t="s">
        <v>85</v>
      </c>
      <c r="J16" s="18">
        <v>1500000.0</v>
      </c>
    </row>
    <row r="17">
      <c r="C17" s="14" t="s">
        <v>161</v>
      </c>
      <c r="D17" s="18">
        <v>400000.0</v>
      </c>
      <c r="E17" s="45" t="s">
        <v>90</v>
      </c>
      <c r="I17" s="14" t="s">
        <v>91</v>
      </c>
      <c r="J17" s="18">
        <v>5000000.0</v>
      </c>
    </row>
    <row r="18">
      <c r="C18" s="14" t="s">
        <v>75</v>
      </c>
      <c r="D18" s="18">
        <v>500000.0</v>
      </c>
      <c r="E18" s="45" t="s">
        <v>94</v>
      </c>
      <c r="I18" s="14" t="s">
        <v>96</v>
      </c>
      <c r="J18" s="70">
        <v>0.015</v>
      </c>
    </row>
    <row r="19">
      <c r="C19" s="21" t="s">
        <v>162</v>
      </c>
      <c r="D19" s="22">
        <v>300000.0</v>
      </c>
      <c r="E19" s="45" t="s">
        <v>100</v>
      </c>
      <c r="I19" s="14" t="s">
        <v>101</v>
      </c>
      <c r="J19" s="18" t="s">
        <v>102</v>
      </c>
    </row>
    <row r="20">
      <c r="C20" s="34" t="s">
        <v>103</v>
      </c>
      <c r="D20" s="40">
        <f>SUM(D14:D19)</f>
        <v>2300000</v>
      </c>
      <c r="E20" s="50"/>
      <c r="I20" s="21" t="s">
        <v>104</v>
      </c>
      <c r="J20" s="22">
        <v>458400.0</v>
      </c>
    </row>
    <row r="21" ht="15.75" customHeight="1">
      <c r="I21" s="29" t="s">
        <v>105</v>
      </c>
      <c r="J21" s="32">
        <f>J20*12</f>
        <v>5500800</v>
      </c>
    </row>
    <row r="22" ht="15.75" customHeight="1">
      <c r="I22" s="29" t="s">
        <v>106</v>
      </c>
      <c r="J22" s="32">
        <v>500800.0</v>
      </c>
    </row>
    <row r="23" ht="15.75" customHeight="1"/>
    <row r="24" ht="15.75" customHeight="1">
      <c r="C24" s="2" t="s">
        <v>107</v>
      </c>
      <c r="D24" s="5"/>
    </row>
    <row r="25" ht="15.75" customHeight="1">
      <c r="C25" s="9" t="s">
        <v>108</v>
      </c>
      <c r="D25" s="11" t="s">
        <v>73</v>
      </c>
    </row>
    <row r="26" ht="15.75" customHeight="1">
      <c r="C26" s="71" t="s">
        <v>170</v>
      </c>
      <c r="D26" s="72">
        <v>1300000.0</v>
      </c>
    </row>
    <row r="27" ht="15.75" customHeight="1">
      <c r="C27" s="71" t="s">
        <v>172</v>
      </c>
      <c r="D27" s="72">
        <v>3000000.0</v>
      </c>
    </row>
    <row r="28" ht="15.75" customHeight="1">
      <c r="C28" s="71" t="s">
        <v>174</v>
      </c>
      <c r="D28" s="72">
        <v>3200000.0</v>
      </c>
    </row>
    <row r="29" ht="15.75" customHeight="1">
      <c r="C29" s="71" t="s">
        <v>175</v>
      </c>
      <c r="D29" s="72">
        <v>1200000.0</v>
      </c>
    </row>
    <row r="30" ht="15.75" customHeight="1">
      <c r="C30" s="71" t="s">
        <v>176</v>
      </c>
      <c r="D30" s="72">
        <v>2500000.0</v>
      </c>
    </row>
    <row r="31" ht="15.75" customHeight="1">
      <c r="C31" s="71" t="s">
        <v>177</v>
      </c>
      <c r="D31" s="72">
        <v>3000000.0</v>
      </c>
    </row>
    <row r="32" ht="15.75" customHeight="1">
      <c r="C32" s="71" t="s">
        <v>178</v>
      </c>
      <c r="D32" s="72">
        <v>1000000.0</v>
      </c>
    </row>
    <row r="33" ht="15.75" customHeight="1">
      <c r="C33" s="71" t="s">
        <v>179</v>
      </c>
      <c r="D33" s="72">
        <v>700000.0</v>
      </c>
    </row>
    <row r="34" ht="15.75" customHeight="1">
      <c r="C34" s="71" t="s">
        <v>118</v>
      </c>
      <c r="D34" s="72">
        <v>1500000.0</v>
      </c>
    </row>
    <row r="35" ht="15.75" customHeight="1">
      <c r="C35" s="71" t="s">
        <v>180</v>
      </c>
      <c r="D35" s="72">
        <v>1500000.0</v>
      </c>
    </row>
    <row r="36" ht="15.75" customHeight="1">
      <c r="C36" s="71" t="s">
        <v>120</v>
      </c>
      <c r="D36" s="72">
        <v>1200000.0</v>
      </c>
    </row>
    <row r="37" ht="15.75" customHeight="1">
      <c r="C37" s="71" t="s">
        <v>121</v>
      </c>
      <c r="D37" s="72">
        <v>800000.0</v>
      </c>
    </row>
    <row r="38" ht="15.75" customHeight="1">
      <c r="C38" s="71" t="s">
        <v>181</v>
      </c>
      <c r="D38" s="72">
        <v>1400000.0</v>
      </c>
    </row>
    <row r="39" ht="15.75" customHeight="1">
      <c r="C39" s="71" t="s">
        <v>182</v>
      </c>
      <c r="D39" s="72">
        <v>700000.0</v>
      </c>
    </row>
    <row r="40" ht="15.75" customHeight="1">
      <c r="C40" s="71" t="s">
        <v>183</v>
      </c>
      <c r="D40" s="72">
        <v>1500000.0</v>
      </c>
    </row>
    <row r="41" ht="15.75" customHeight="1">
      <c r="C41" s="71" t="s">
        <v>126</v>
      </c>
      <c r="D41" s="72">
        <v>1000000.0</v>
      </c>
    </row>
    <row r="42" ht="15.75" customHeight="1">
      <c r="C42" s="71" t="s">
        <v>184</v>
      </c>
      <c r="D42" s="72">
        <v>1200000.0</v>
      </c>
    </row>
    <row r="43" ht="15.75" customHeight="1">
      <c r="C43" s="71" t="s">
        <v>185</v>
      </c>
      <c r="D43" s="72">
        <v>1200000.0</v>
      </c>
    </row>
    <row r="44" ht="15.75" customHeight="1">
      <c r="C44" s="71" t="s">
        <v>186</v>
      </c>
      <c r="D44" s="72">
        <v>800000.0</v>
      </c>
    </row>
    <row r="45" ht="15.75" customHeight="1">
      <c r="C45" s="71" t="s">
        <v>129</v>
      </c>
      <c r="D45" s="72">
        <v>500000.0</v>
      </c>
    </row>
    <row r="46" ht="15.75" customHeight="1">
      <c r="C46" s="71" t="s">
        <v>130</v>
      </c>
      <c r="D46" s="72">
        <v>400000.0</v>
      </c>
    </row>
    <row r="47" ht="15.75" customHeight="1">
      <c r="C47" s="71" t="s">
        <v>187</v>
      </c>
      <c r="D47" s="72">
        <v>800000.0</v>
      </c>
    </row>
    <row r="48" ht="15.75" customHeight="1">
      <c r="C48" s="73" t="s">
        <v>131</v>
      </c>
      <c r="D48" s="74">
        <f>SUM(D26:D47)</f>
        <v>30400000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F2"/>
    <mergeCell ref="P2:R2"/>
    <mergeCell ref="I3:J3"/>
    <mergeCell ref="P11:Q11"/>
    <mergeCell ref="C12:E12"/>
    <mergeCell ref="I13:J13"/>
    <mergeCell ref="C24:D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13"/>
    <col customWidth="1" min="3" max="3" width="30.63"/>
    <col customWidth="1" min="4" max="4" width="11.63"/>
    <col customWidth="1" min="5" max="5" width="12.13"/>
    <col customWidth="1" min="6" max="6" width="12.0"/>
    <col customWidth="1" min="7" max="7" width="12.13"/>
    <col customWidth="1" min="8" max="8" width="12.0"/>
    <col customWidth="1" min="9" max="9" width="21.0"/>
    <col customWidth="1" min="10" max="26" width="10.63"/>
  </cols>
  <sheetData>
    <row r="3">
      <c r="B3" s="1" t="s">
        <v>188</v>
      </c>
      <c r="C3" s="3"/>
      <c r="E3" s="1" t="s">
        <v>2</v>
      </c>
      <c r="F3" s="6"/>
      <c r="G3" s="3"/>
    </row>
    <row r="4">
      <c r="B4" s="8" t="s">
        <v>4</v>
      </c>
      <c r="C4" s="10" t="s">
        <v>6</v>
      </c>
      <c r="E4" s="8" t="s">
        <v>7</v>
      </c>
      <c r="F4" s="10" t="s">
        <v>9</v>
      </c>
      <c r="G4" s="10" t="s">
        <v>10</v>
      </c>
    </row>
    <row r="5">
      <c r="B5" s="12" t="s">
        <v>12</v>
      </c>
      <c r="C5" s="13">
        <v>2.34E7</v>
      </c>
      <c r="E5" s="14" t="s">
        <v>15</v>
      </c>
      <c r="F5" s="16">
        <v>0.2</v>
      </c>
      <c r="G5" s="18">
        <v>8400000.0</v>
      </c>
    </row>
    <row r="6">
      <c r="B6" s="14" t="s">
        <v>19</v>
      </c>
      <c r="C6" s="18">
        <v>2700000.0</v>
      </c>
      <c r="E6" s="14" t="s">
        <v>20</v>
      </c>
      <c r="F6" s="16">
        <v>0.15</v>
      </c>
      <c r="G6" s="18">
        <v>6300000.0</v>
      </c>
    </row>
    <row r="7">
      <c r="B7" s="14" t="s">
        <v>22</v>
      </c>
      <c r="C7" s="18">
        <v>2300000.0</v>
      </c>
      <c r="E7" s="14" t="s">
        <v>23</v>
      </c>
      <c r="F7" s="16">
        <v>0.2</v>
      </c>
      <c r="G7" s="18">
        <v>8400000.0</v>
      </c>
    </row>
    <row r="8">
      <c r="B8" s="14" t="s">
        <v>25</v>
      </c>
      <c r="C8" s="18">
        <v>1700000.0</v>
      </c>
      <c r="E8" s="14" t="s">
        <v>27</v>
      </c>
      <c r="F8" s="16">
        <v>0.2</v>
      </c>
      <c r="G8" s="18">
        <v>8400000.0</v>
      </c>
    </row>
    <row r="9">
      <c r="B9" s="21" t="s">
        <v>28</v>
      </c>
      <c r="C9" s="59">
        <v>2400000.0</v>
      </c>
      <c r="E9" s="14" t="s">
        <v>30</v>
      </c>
      <c r="F9" s="16">
        <v>0.15</v>
      </c>
      <c r="G9" s="18">
        <v>6300000.0</v>
      </c>
    </row>
    <row r="10">
      <c r="B10" s="60" t="s">
        <v>31</v>
      </c>
      <c r="C10" s="61">
        <f>SUM(C5:C9)</f>
        <v>32500000</v>
      </c>
      <c r="E10" s="21" t="s">
        <v>33</v>
      </c>
      <c r="F10" s="26">
        <v>0.1</v>
      </c>
      <c r="G10" s="22">
        <v>4200000.0</v>
      </c>
    </row>
    <row r="11">
      <c r="B11" s="14" t="s">
        <v>136</v>
      </c>
      <c r="C11" s="18">
        <v>9500000.0</v>
      </c>
      <c r="E11" s="29" t="s">
        <v>37</v>
      </c>
      <c r="F11" s="30">
        <v>1.0</v>
      </c>
      <c r="G11" s="32">
        <f>SUM(G5:G10)</f>
        <v>42000000</v>
      </c>
    </row>
    <row r="12">
      <c r="B12" s="33" t="s">
        <v>44</v>
      </c>
      <c r="C12" s="28">
        <f>SUM(C10:C11)</f>
        <v>42000000</v>
      </c>
    </row>
    <row r="13">
      <c r="B13" s="21" t="s">
        <v>51</v>
      </c>
      <c r="C13" s="75">
        <v>0.226</v>
      </c>
    </row>
    <row r="14">
      <c r="B14" s="63" t="s">
        <v>53</v>
      </c>
      <c r="C14" s="66">
        <f>C12*1.19</f>
        <v>49980000</v>
      </c>
    </row>
    <row r="18">
      <c r="B18" s="1" t="s">
        <v>189</v>
      </c>
      <c r="C18" s="6"/>
      <c r="D18" s="6"/>
      <c r="E18" s="6"/>
      <c r="F18" s="6"/>
      <c r="G18" s="6"/>
      <c r="H18" s="6"/>
      <c r="I18" s="3"/>
    </row>
    <row r="19">
      <c r="B19" s="8" t="s">
        <v>58</v>
      </c>
      <c r="C19" s="10" t="s">
        <v>59</v>
      </c>
      <c r="D19" s="10" t="s">
        <v>15</v>
      </c>
      <c r="E19" s="10" t="s">
        <v>20</v>
      </c>
      <c r="F19" s="10" t="s">
        <v>23</v>
      </c>
      <c r="G19" s="10" t="s">
        <v>27</v>
      </c>
      <c r="H19" s="10" t="s">
        <v>30</v>
      </c>
      <c r="I19" s="10" t="s">
        <v>33</v>
      </c>
    </row>
    <row r="20">
      <c r="B20" s="14" t="s">
        <v>60</v>
      </c>
      <c r="C20" s="18"/>
      <c r="D20" s="18">
        <v>8400000.0</v>
      </c>
      <c r="E20" s="18">
        <v>6300000.0</v>
      </c>
      <c r="F20" s="18">
        <v>8400000.0</v>
      </c>
      <c r="G20" s="18">
        <v>8400000.0</v>
      </c>
      <c r="H20" s="18">
        <v>6300000.0</v>
      </c>
      <c r="I20" s="18">
        <v>4200000.0</v>
      </c>
    </row>
    <row r="21" ht="15.75" customHeight="1">
      <c r="B21" s="14" t="s">
        <v>61</v>
      </c>
      <c r="C21" s="18"/>
      <c r="D21" s="18"/>
      <c r="E21" s="18"/>
      <c r="F21" s="18"/>
      <c r="G21" s="18"/>
      <c r="H21" s="18"/>
      <c r="I21" s="18"/>
    </row>
    <row r="22" ht="15.75" customHeight="1">
      <c r="B22" s="14" t="s">
        <v>62</v>
      </c>
      <c r="C22" s="18">
        <v>5000000.0</v>
      </c>
      <c r="D22" s="18"/>
      <c r="E22" s="18"/>
      <c r="F22" s="18"/>
      <c r="G22" s="18"/>
      <c r="H22" s="18"/>
      <c r="I22" s="18"/>
    </row>
    <row r="23" ht="15.75" customHeight="1">
      <c r="B23" s="14" t="s">
        <v>63</v>
      </c>
      <c r="D23" s="18"/>
      <c r="E23" s="18"/>
      <c r="F23" s="18"/>
      <c r="G23" s="18"/>
      <c r="H23" s="18"/>
      <c r="I23" s="18"/>
    </row>
    <row r="24" ht="15.75" customHeight="1">
      <c r="B24" s="14" t="s">
        <v>64</v>
      </c>
      <c r="C24" s="18">
        <v>1500000.0</v>
      </c>
      <c r="D24" s="18"/>
      <c r="E24" s="18"/>
      <c r="F24" s="18"/>
      <c r="G24" s="18"/>
      <c r="H24" s="18"/>
      <c r="I24" s="18"/>
    </row>
    <row r="25" ht="15.75" customHeight="1">
      <c r="B25" s="43" t="s">
        <v>66</v>
      </c>
      <c r="C25" s="44">
        <f t="shared" ref="C25:I25" si="1">SUM(C20:C24)</f>
        <v>6500000</v>
      </c>
      <c r="D25" s="44">
        <f t="shared" si="1"/>
        <v>8400000</v>
      </c>
      <c r="E25" s="44">
        <f t="shared" si="1"/>
        <v>6300000</v>
      </c>
      <c r="F25" s="44">
        <f t="shared" si="1"/>
        <v>8400000</v>
      </c>
      <c r="G25" s="44">
        <f t="shared" si="1"/>
        <v>8400000</v>
      </c>
      <c r="H25" s="44">
        <f t="shared" si="1"/>
        <v>6300000</v>
      </c>
      <c r="I25" s="44">
        <f t="shared" si="1"/>
        <v>4200000</v>
      </c>
    </row>
    <row r="26" ht="15.75" customHeight="1">
      <c r="B26" s="29" t="s">
        <v>72</v>
      </c>
      <c r="C26" s="46" t="s">
        <v>59</v>
      </c>
      <c r="D26" s="46" t="s">
        <v>15</v>
      </c>
      <c r="E26" s="46" t="s">
        <v>20</v>
      </c>
      <c r="F26" s="46" t="s">
        <v>23</v>
      </c>
      <c r="G26" s="46" t="s">
        <v>27</v>
      </c>
      <c r="H26" s="46" t="s">
        <v>30</v>
      </c>
      <c r="I26" s="47" t="s">
        <v>33</v>
      </c>
    </row>
    <row r="27" ht="15.75" customHeight="1">
      <c r="B27" s="12" t="s">
        <v>75</v>
      </c>
      <c r="C27" s="13"/>
      <c r="D27" s="13">
        <v>50000.0</v>
      </c>
      <c r="E27" s="13">
        <v>60000.0</v>
      </c>
      <c r="F27" s="13">
        <v>70000.0</v>
      </c>
      <c r="G27" s="13">
        <v>80000.0</v>
      </c>
      <c r="H27" s="13">
        <v>100000.0</v>
      </c>
      <c r="I27" s="13">
        <v>100000.0</v>
      </c>
    </row>
    <row r="28" ht="15.75" customHeight="1">
      <c r="B28" s="14" t="s">
        <v>76</v>
      </c>
      <c r="C28" s="18"/>
      <c r="D28" s="18">
        <v>3450000.0</v>
      </c>
      <c r="E28" s="18">
        <v>3450000.0</v>
      </c>
      <c r="F28" s="18">
        <v>3450000.0</v>
      </c>
      <c r="G28" s="18">
        <v>3450000.0</v>
      </c>
      <c r="H28" s="18">
        <v>3450000.0</v>
      </c>
      <c r="I28" s="18">
        <v>3450000.0</v>
      </c>
    </row>
    <row r="29" ht="15.75" customHeight="1">
      <c r="B29" s="14" t="s">
        <v>79</v>
      </c>
      <c r="C29" s="18"/>
      <c r="D29" s="18">
        <v>450000.0</v>
      </c>
      <c r="E29" s="18">
        <v>450000.0</v>
      </c>
      <c r="F29" s="18">
        <v>450000.0</v>
      </c>
      <c r="G29" s="18">
        <v>450000.0</v>
      </c>
      <c r="H29" s="18">
        <v>450000.0</v>
      </c>
      <c r="I29" s="18">
        <v>450000.0</v>
      </c>
    </row>
    <row r="30" ht="15.75" customHeight="1">
      <c r="B30" s="14" t="s">
        <v>190</v>
      </c>
      <c r="C30" s="18"/>
      <c r="D30" s="18">
        <v>200000.0</v>
      </c>
      <c r="E30" s="18">
        <v>200000.0</v>
      </c>
      <c r="F30" s="18">
        <v>200000.0</v>
      </c>
      <c r="G30" s="18">
        <v>200000.0</v>
      </c>
      <c r="H30" s="18">
        <v>200000.0</v>
      </c>
      <c r="I30" s="18">
        <v>200000.0</v>
      </c>
    </row>
    <row r="31" ht="15.75" customHeight="1">
      <c r="B31" s="14" t="s">
        <v>80</v>
      </c>
      <c r="C31" s="18"/>
      <c r="D31" s="18">
        <v>180000.0</v>
      </c>
      <c r="E31" s="18">
        <v>180000.0</v>
      </c>
      <c r="F31" s="18">
        <v>180000.0</v>
      </c>
      <c r="G31" s="18">
        <v>180000.0</v>
      </c>
      <c r="H31" s="18">
        <v>180000.0</v>
      </c>
      <c r="I31" s="18">
        <v>180000.0</v>
      </c>
    </row>
    <row r="32" ht="15.75" customHeight="1">
      <c r="B32" s="14" t="s">
        <v>191</v>
      </c>
      <c r="C32" s="18"/>
      <c r="D32" s="18">
        <v>300000.0</v>
      </c>
      <c r="E32" s="18"/>
      <c r="F32" s="18"/>
      <c r="G32" s="18"/>
      <c r="H32" s="18"/>
      <c r="I32" s="18"/>
    </row>
    <row r="33" ht="15.75" customHeight="1">
      <c r="B33" s="14" t="s">
        <v>156</v>
      </c>
      <c r="C33" s="18"/>
      <c r="D33" s="18"/>
      <c r="E33" s="18">
        <v>400000.0</v>
      </c>
      <c r="F33" s="18"/>
      <c r="G33" s="18"/>
      <c r="H33" s="18"/>
      <c r="I33" s="18"/>
    </row>
    <row r="34" ht="15.75" customHeight="1">
      <c r="B34" s="14" t="s">
        <v>192</v>
      </c>
      <c r="C34" s="18"/>
      <c r="D34" s="18"/>
      <c r="E34" s="18"/>
      <c r="F34" s="18">
        <v>400000.0</v>
      </c>
      <c r="G34" s="18">
        <v>400000.0</v>
      </c>
      <c r="H34" s="18"/>
      <c r="I34" s="18"/>
    </row>
    <row r="35" ht="15.75" customHeight="1">
      <c r="B35" s="14" t="s">
        <v>193</v>
      </c>
      <c r="C35" s="18"/>
      <c r="D35" s="18"/>
      <c r="E35" s="18"/>
      <c r="F35" s="18"/>
      <c r="G35" s="18"/>
      <c r="H35" s="18">
        <v>500000.0</v>
      </c>
      <c r="I35" s="18">
        <v>300000.0</v>
      </c>
    </row>
    <row r="36" ht="15.75" customHeight="1">
      <c r="B36" s="51" t="s">
        <v>194</v>
      </c>
      <c r="C36" s="18"/>
      <c r="D36" s="18">
        <v>458400.0</v>
      </c>
      <c r="E36" s="18">
        <v>458400.0</v>
      </c>
      <c r="F36" s="18">
        <v>458400.0</v>
      </c>
      <c r="G36" s="18">
        <v>458400.0</v>
      </c>
      <c r="H36" s="18">
        <v>458400.0</v>
      </c>
      <c r="I36" s="18">
        <v>458400.0</v>
      </c>
    </row>
    <row r="37" ht="15.75" customHeight="1">
      <c r="B37" s="21" t="s">
        <v>92</v>
      </c>
      <c r="C37" s="22">
        <v>1700000.0</v>
      </c>
      <c r="D37" s="22"/>
      <c r="E37" s="22"/>
      <c r="F37" s="22"/>
      <c r="G37" s="22"/>
      <c r="H37" s="22"/>
      <c r="I37" s="22"/>
    </row>
    <row r="38" ht="15.75" customHeight="1">
      <c r="B38" s="29" t="s">
        <v>97</v>
      </c>
      <c r="C38" s="49">
        <f t="shared" ref="C38:I38" si="2">SUM(C27:C37)</f>
        <v>1700000</v>
      </c>
      <c r="D38" s="49">
        <f t="shared" si="2"/>
        <v>5088400</v>
      </c>
      <c r="E38" s="49">
        <f t="shared" si="2"/>
        <v>5198400</v>
      </c>
      <c r="F38" s="49">
        <f t="shared" si="2"/>
        <v>5208400</v>
      </c>
      <c r="G38" s="49">
        <f t="shared" si="2"/>
        <v>5218400</v>
      </c>
      <c r="H38" s="49">
        <f t="shared" si="2"/>
        <v>5338400</v>
      </c>
      <c r="I38" s="32">
        <f t="shared" si="2"/>
        <v>5138400</v>
      </c>
    </row>
    <row r="39" ht="15.75" customHeight="1">
      <c r="B39" s="51"/>
      <c r="C39" s="52"/>
      <c r="D39" s="52"/>
      <c r="E39" s="52"/>
      <c r="F39" s="52"/>
      <c r="G39" s="52"/>
      <c r="H39" s="52"/>
      <c r="I39" s="52"/>
    </row>
    <row r="40" ht="15.75" customHeight="1">
      <c r="B40" s="53" t="s">
        <v>110</v>
      </c>
      <c r="C40" s="54">
        <f t="shared" ref="C40:I40" si="3">C25-C38</f>
        <v>4800000</v>
      </c>
      <c r="D40" s="54">
        <f t="shared" si="3"/>
        <v>3311600</v>
      </c>
      <c r="E40" s="54">
        <f t="shared" si="3"/>
        <v>1101600</v>
      </c>
      <c r="F40" s="54">
        <f t="shared" si="3"/>
        <v>3191600</v>
      </c>
      <c r="G40" s="54">
        <f t="shared" si="3"/>
        <v>3181600</v>
      </c>
      <c r="H40" s="54">
        <f t="shared" si="3"/>
        <v>961600</v>
      </c>
      <c r="I40" s="54">
        <f t="shared" si="3"/>
        <v>-938400</v>
      </c>
    </row>
    <row r="41" ht="15.75" customHeight="1">
      <c r="B41" s="56" t="s">
        <v>122</v>
      </c>
      <c r="C41" s="57">
        <f>C40+C20</f>
        <v>4800000</v>
      </c>
      <c r="D41" s="57">
        <f t="shared" ref="D41:I41" si="4">C41+D40</f>
        <v>8111600</v>
      </c>
      <c r="E41" s="57">
        <f t="shared" si="4"/>
        <v>9213200</v>
      </c>
      <c r="F41" s="57">
        <f t="shared" si="4"/>
        <v>12404800</v>
      </c>
      <c r="G41" s="57">
        <f t="shared" si="4"/>
        <v>15586400</v>
      </c>
      <c r="H41" s="57">
        <f t="shared" si="4"/>
        <v>16548000</v>
      </c>
      <c r="I41" s="57">
        <f t="shared" si="4"/>
        <v>15609600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E3:G3"/>
    <mergeCell ref="B18:I1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24.25"/>
    <col customWidth="1" min="4" max="4" width="27.75"/>
    <col customWidth="1" min="5" max="5" width="24.75"/>
    <col customWidth="1" min="6" max="26" width="10.63"/>
  </cols>
  <sheetData>
    <row r="2">
      <c r="B2" s="76"/>
      <c r="C2" s="77" t="s">
        <v>195</v>
      </c>
      <c r="D2" s="78" t="s">
        <v>196</v>
      </c>
      <c r="E2" s="79" t="s">
        <v>197</v>
      </c>
    </row>
    <row r="3">
      <c r="B3" s="80" t="s">
        <v>198</v>
      </c>
      <c r="C3" s="81">
        <v>2.3E7</v>
      </c>
      <c r="D3" s="36">
        <v>3.1E7</v>
      </c>
      <c r="E3" s="40">
        <v>4.2E7</v>
      </c>
    </row>
    <row r="4">
      <c r="B4" s="80" t="s">
        <v>199</v>
      </c>
      <c r="C4" s="82">
        <v>4370000.0</v>
      </c>
      <c r="D4" s="83">
        <v>5890000.0</v>
      </c>
      <c r="E4" s="83">
        <v>7980000.0</v>
      </c>
    </row>
    <row r="5">
      <c r="B5" s="80" t="s">
        <v>200</v>
      </c>
      <c r="C5" s="81">
        <f t="shared" ref="C5:E5" si="1">SUM(C3:C4)</f>
        <v>27370000</v>
      </c>
      <c r="D5" s="36">
        <f t="shared" si="1"/>
        <v>36890000</v>
      </c>
      <c r="E5" s="40">
        <f t="shared" si="1"/>
        <v>49980000</v>
      </c>
    </row>
    <row r="6">
      <c r="B6" s="12" t="s">
        <v>201</v>
      </c>
      <c r="C6" s="84" t="s">
        <v>202</v>
      </c>
      <c r="D6" s="84" t="s">
        <v>203</v>
      </c>
      <c r="E6" s="84" t="s">
        <v>204</v>
      </c>
    </row>
    <row r="7">
      <c r="B7" s="14" t="s">
        <v>205</v>
      </c>
      <c r="C7" s="45" t="s">
        <v>206</v>
      </c>
      <c r="D7" s="45" t="s">
        <v>206</v>
      </c>
      <c r="E7" s="45" t="s">
        <v>206</v>
      </c>
    </row>
    <row r="8">
      <c r="B8" s="14" t="s">
        <v>207</v>
      </c>
      <c r="C8" s="45" t="s">
        <v>208</v>
      </c>
      <c r="D8" s="45" t="s">
        <v>209</v>
      </c>
      <c r="E8" s="45" t="s">
        <v>210</v>
      </c>
    </row>
    <row r="9">
      <c r="B9" s="14" t="s">
        <v>211</v>
      </c>
      <c r="C9" s="45" t="s">
        <v>212</v>
      </c>
      <c r="D9" s="45" t="s">
        <v>213</v>
      </c>
      <c r="E9" s="45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2026-09-16T17:13:55Z</dcterms:created>
  <dc:creator>LUCAS ALONSO OLEA CORNEJO</dc:creator>
</cp:coreProperties>
</file>