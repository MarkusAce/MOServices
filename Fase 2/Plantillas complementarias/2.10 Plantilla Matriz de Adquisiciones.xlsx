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er\Downloads\"/>
    </mc:Choice>
  </mc:AlternateContent>
  <xr:revisionPtr revIDLastSave="0" documentId="13_ncr:1_{433DB27F-0AE1-450A-AAA9-1C71116A4564}" xr6:coauthVersionLast="47" xr6:coauthVersionMax="47" xr10:uidLastSave="{00000000-0000-0000-0000-000000000000}"/>
  <bookViews>
    <workbookView xWindow="12615" yWindow="0" windowWidth="16290" windowHeight="15585" xr2:uid="{00000000-000D-0000-FFFF-FFFF00000000}"/>
  </bookViews>
  <sheets>
    <sheet name="Matriz de Adquisiciones" sheetId="8" r:id="rId1"/>
    <sheet name="Ejemplo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7" l="1"/>
  <c r="J28" i="7"/>
  <c r="J25" i="7"/>
  <c r="J21" i="7"/>
  <c r="J32" i="7" l="1"/>
</calcChain>
</file>

<file path=xl/sharedStrings.xml><?xml version="1.0" encoding="utf-8"?>
<sst xmlns="http://schemas.openxmlformats.org/spreadsheetml/2006/main" count="121" uniqueCount="75">
  <si>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</si>
  <si>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</si>
  <si>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</si>
  <si>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</si>
  <si>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</si>
  <si>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</si>
  <si>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</si>
  <si>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</si>
  <si>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Total</t>
  </si>
  <si>
    <t>Proyecto:</t>
  </si>
  <si>
    <t>ID:</t>
  </si>
  <si>
    <t>1.1.1</t>
  </si>
  <si>
    <t>LPI</t>
  </si>
  <si>
    <t>Bienes</t>
  </si>
  <si>
    <t>LPN</t>
  </si>
  <si>
    <t>1.2.1</t>
  </si>
  <si>
    <t>Servicios Consultoría Individual</t>
  </si>
  <si>
    <t>LPI = Licitación Pública Internacional</t>
  </si>
  <si>
    <t>LPN = Licitación Pública Nacional</t>
  </si>
  <si>
    <t>2.1.1</t>
  </si>
  <si>
    <t>2.2.1</t>
  </si>
  <si>
    <t>3.1.1</t>
  </si>
  <si>
    <t>Estructura de la EDT</t>
  </si>
  <si>
    <t>1.1.1.1</t>
  </si>
  <si>
    <t>1.2.1.1</t>
  </si>
  <si>
    <t>2.1.1.1</t>
  </si>
  <si>
    <t>2.2.1.1</t>
  </si>
  <si>
    <t>3.1.1.1</t>
  </si>
  <si>
    <t>Nota:</t>
  </si>
  <si>
    <t>Se puede contratar a nivel de producto, entregable o paquete de trabajo. No siempre es necesario desagregar tanto las adquisiciones.</t>
  </si>
  <si>
    <t>30 escuelas construidas</t>
  </si>
  <si>
    <t>Infraestructura de calidad</t>
  </si>
  <si>
    <t>Empresas constructoras contratadas</t>
  </si>
  <si>
    <t>30 escuelas equipadas</t>
  </si>
  <si>
    <t>Mejora de la calidad de la educación</t>
  </si>
  <si>
    <t>Servicios firmas</t>
  </si>
  <si>
    <t>Equipos y muebles comprados</t>
  </si>
  <si>
    <t>Capacitación</t>
  </si>
  <si>
    <t>Capacitación contratada</t>
  </si>
  <si>
    <t>Materiales para capacitación desarrollados</t>
  </si>
  <si>
    <t>Apoyo y aceptación del proyecto</t>
  </si>
  <si>
    <t>Campaña de comunicación diseñada</t>
  </si>
  <si>
    <t>Campaña de comunicación difundida</t>
  </si>
  <si>
    <t>Gestión exitosa del proyecto</t>
  </si>
  <si>
    <t>Proyecto completado</t>
  </si>
  <si>
    <t>Evaluaciones completadas</t>
  </si>
  <si>
    <t>Auditorías internas y externas completadas</t>
  </si>
  <si>
    <t>30 escuelas con mantenimiento</t>
  </si>
  <si>
    <t>HT2011-12</t>
  </si>
  <si>
    <t>Apoyo Educativo</t>
  </si>
  <si>
    <t>RollerApp , Sistema Integrado de Cotización, Venta y Agendamiento de Visitas Técnicas de Cortinas</t>
  </si>
  <si>
    <t>RA-2026-PORT</t>
  </si>
  <si>
    <t>Infraestructura y Servidores Nube</t>
  </si>
  <si>
    <t>Servidor Backend &amp; Base de Datos</t>
  </si>
  <si>
    <t>Instancia Cloud Backend REST API y Base de Datos</t>
  </si>
  <si>
    <t>Despliegue de ambiente de producción y respaldo automático</t>
  </si>
  <si>
    <t>Hosting Frontend &amp; Dominio Web (.cl)</t>
  </si>
  <si>
    <t>Dominio web institucional rollerapp.cl y Hosting Vercel</t>
  </si>
  <si>
    <t>Registro de dominio NIC Chile y SSL dedicado</t>
  </si>
  <si>
    <t>Integración de Servicios y Servicios de Terceros</t>
  </si>
  <si>
    <t>Pasarela de Pago Webpay Plus (Transbank)</t>
  </si>
  <si>
    <t>Integración API Webpay Plus para ventas en línea</t>
  </si>
  <si>
    <t>Pruebas en ambiente Integration/TBK y paso a Producción</t>
  </si>
  <si>
    <t>Servicio de Correos Notificaciones (SendGrid / Transactional API)</t>
  </si>
  <si>
    <t>API de envíos de correos automáticos y comprobantes de agendamiento</t>
  </si>
  <si>
    <t>Configuración de plantillas HTML y webhook de confirmación de agendamiento</t>
  </si>
  <si>
    <t>Herramientas de Desarrollo, Licencias y Hardware</t>
  </si>
  <si>
    <t>Licencias y Software de Diseño (Figma / VS Code)</t>
  </si>
  <si>
    <t>Maquetación UI/UX y prototipado de vistas de cortinas</t>
  </si>
  <si>
    <t>Creación de componentes UI y kit de diseño del cotizador</t>
  </si>
  <si>
    <t>Bienes Digitales</t>
  </si>
  <si>
    <t>Servicios</t>
  </si>
  <si>
    <t>Contratación Directa</t>
  </si>
  <si>
    <t>Contratación Directa(SaaS)</t>
  </si>
  <si>
    <t>Administracion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</si>
</sst>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70" formatCode="[$$-340A]#,##0"/>
    <numFmt numFmtId="173" formatCode="_ [$$-340A]* #,##0_ ;_ [$$-340A]* \-#,##0_ ;_ [$$-340A]* &quot;-&quot;_ ;_ @_ "/>
    <numFmt numFmtId="174" formatCode="_ [$$-340A]* #,##0.00_ ;_ [$$-340A]* \-#,##0.00_ ;_ [$$-340A]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 applyProtection="1">
      <alignment vertical="top"/>
      <protection locked="0"/>
    </xf>
    <xf numFmtId="9" fontId="7" fillId="3" borderId="10" xfId="0" applyNumberFormat="1" applyFont="1" applyFill="1" applyBorder="1" applyAlignment="1" applyProtection="1">
      <alignment vertical="top"/>
      <protection locked="0"/>
    </xf>
    <xf numFmtId="0" fontId="7" fillId="3" borderId="10" xfId="0" applyFont="1" applyFill="1" applyBorder="1" applyAlignment="1" applyProtection="1">
      <alignment horizontal="right" vertical="top"/>
      <protection locked="0"/>
    </xf>
    <xf numFmtId="14" fontId="7" fillId="3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vertical="top"/>
      <protection locked="0"/>
    </xf>
    <xf numFmtId="9" fontId="8" fillId="4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horizontal="right" vertical="top"/>
      <protection locked="0"/>
    </xf>
    <xf numFmtId="14" fontId="8" fillId="4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top"/>
      <protection locked="0"/>
    </xf>
    <xf numFmtId="9" fontId="9" fillId="5" borderId="10" xfId="0" applyNumberFormat="1" applyFont="1" applyFill="1" applyBorder="1" applyAlignment="1" applyProtection="1">
      <alignment vertical="top"/>
      <protection locked="0"/>
    </xf>
    <xf numFmtId="14" fontId="9" fillId="5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center"/>
      <protection locked="0"/>
    </xf>
    <xf numFmtId="9" fontId="9" fillId="5" borderId="10" xfId="0" applyNumberFormat="1" applyFont="1" applyFill="1" applyBorder="1" applyAlignment="1" applyProtection="1">
      <alignment vertical="center" wrapText="1"/>
      <protection locked="0"/>
    </xf>
    <xf numFmtId="0" fontId="9" fillId="5" borderId="10" xfId="0" applyFont="1" applyFill="1" applyBorder="1" applyAlignment="1" applyProtection="1">
      <alignment horizontal="center" vertical="top" wrapText="1"/>
      <protection locked="0"/>
    </xf>
    <xf numFmtId="0" fontId="9" fillId="5" borderId="10" xfId="0" applyFont="1" applyFill="1" applyBorder="1" applyAlignment="1" applyProtection="1">
      <alignment horizontal="center" vertical="center" wrapText="1"/>
      <protection locked="0"/>
    </xf>
    <xf numFmtId="0" fontId="9" fillId="6" borderId="10" xfId="0" applyFont="1" applyFill="1" applyBorder="1" applyAlignment="1" applyProtection="1">
      <alignment vertical="top"/>
      <protection locked="0"/>
    </xf>
    <xf numFmtId="9" fontId="9" fillId="6" borderId="10" xfId="0" applyNumberFormat="1" applyFont="1" applyFill="1" applyBorder="1" applyAlignment="1" applyProtection="1">
      <alignment vertical="top"/>
      <protection locked="0"/>
    </xf>
    <xf numFmtId="14" fontId="9" fillId="6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10" fillId="0" borderId="0" xfId="0" applyFont="1"/>
    <xf numFmtId="9" fontId="9" fillId="5" borderId="10" xfId="0" applyNumberFormat="1" applyFont="1" applyFill="1" applyBorder="1" applyAlignment="1" applyProtection="1">
      <alignment horizontal="center" vertical="center" wrapText="1"/>
      <protection locked="0"/>
    </xf>
    <xf numFmtId="9" fontId="8" fillId="4" borderId="10" xfId="0" applyNumberFormat="1" applyFont="1" applyFill="1" applyBorder="1" applyAlignment="1" applyProtection="1">
      <alignment horizontal="center" vertical="top"/>
      <protection locked="0"/>
    </xf>
    <xf numFmtId="9" fontId="9" fillId="5" borderId="10" xfId="0" applyNumberFormat="1" applyFont="1" applyFill="1" applyBorder="1" applyAlignment="1" applyProtection="1">
      <alignment horizontal="center" vertical="top"/>
      <protection locked="0"/>
    </xf>
    <xf numFmtId="9" fontId="7" fillId="3" borderId="10" xfId="0" applyNumberFormat="1" applyFont="1" applyFill="1" applyBorder="1" applyAlignment="1" applyProtection="1">
      <alignment horizontal="center" vertical="top"/>
      <protection locked="0"/>
    </xf>
    <xf numFmtId="9" fontId="9" fillId="4" borderId="10" xfId="0" applyNumberFormat="1" applyFont="1" applyFill="1" applyBorder="1" applyAlignment="1" applyProtection="1">
      <alignment horizontal="center" vertical="top"/>
      <protection locked="0"/>
    </xf>
    <xf numFmtId="0" fontId="9" fillId="4" borderId="10" xfId="0" applyFont="1" applyFill="1" applyBorder="1" applyAlignment="1" applyProtection="1">
      <alignment horizontal="center" vertical="top"/>
      <protection locked="0"/>
    </xf>
    <xf numFmtId="0" fontId="9" fillId="6" borderId="10" xfId="0" applyFont="1" applyFill="1" applyBorder="1" applyAlignment="1" applyProtection="1">
      <alignment horizontal="center" vertical="top"/>
      <protection locked="0"/>
    </xf>
    <xf numFmtId="0" fontId="7" fillId="3" borderId="16" xfId="0" applyFont="1" applyFill="1" applyBorder="1" applyAlignment="1" applyProtection="1">
      <alignment horizontal="left" vertical="center"/>
      <protection locked="0"/>
    </xf>
    <xf numFmtId="0" fontId="8" fillId="4" borderId="16" xfId="0" applyFont="1" applyFill="1" applyBorder="1" applyAlignment="1" applyProtection="1">
      <alignment horizontal="left" vertical="center"/>
      <protection locked="0"/>
    </xf>
    <xf numFmtId="14" fontId="8" fillId="4" borderId="17" xfId="0" applyNumberFormat="1" applyFont="1" applyFill="1" applyBorder="1" applyAlignment="1" applyProtection="1">
      <alignment vertical="top"/>
      <protection locked="0"/>
    </xf>
    <xf numFmtId="0" fontId="9" fillId="5" borderId="16" xfId="0" applyFont="1" applyFill="1" applyBorder="1" applyAlignment="1" applyProtection="1">
      <alignment horizontal="left" vertical="center"/>
      <protection locked="0"/>
    </xf>
    <xf numFmtId="0" fontId="9" fillId="6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165" fontId="7" fillId="3" borderId="17" xfId="0" applyNumberFormat="1" applyFont="1" applyFill="1" applyBorder="1" applyAlignment="1" applyProtection="1">
      <alignment vertical="top"/>
      <protection locked="0"/>
    </xf>
    <xf numFmtId="165" fontId="9" fillId="5" borderId="17" xfId="1" applyNumberFormat="1" applyFont="1" applyFill="1" applyBorder="1" applyAlignment="1" applyProtection="1">
      <alignment vertical="center" wrapText="1"/>
      <protection locked="0"/>
    </xf>
    <xf numFmtId="164" fontId="8" fillId="4" borderId="17" xfId="1" applyFont="1" applyFill="1" applyBorder="1" applyAlignment="1" applyProtection="1">
      <alignment vertical="top"/>
      <protection locked="0"/>
    </xf>
    <xf numFmtId="165" fontId="9" fillId="6" borderId="17" xfId="1" applyNumberFormat="1" applyFont="1" applyFill="1" applyBorder="1" applyAlignment="1" applyProtection="1">
      <alignment vertical="top"/>
      <protection locked="0"/>
    </xf>
    <xf numFmtId="165" fontId="8" fillId="4" borderId="17" xfId="1" applyNumberFormat="1" applyFont="1" applyFill="1" applyBorder="1" applyAlignment="1" applyProtection="1">
      <alignment vertical="top"/>
      <protection locked="0"/>
    </xf>
    <xf numFmtId="165" fontId="5" fillId="0" borderId="21" xfId="1" applyNumberFormat="1" applyFont="1" applyBorder="1" applyAlignment="1">
      <alignment horizontal="left" vertical="top" wrapText="1"/>
    </xf>
    <xf numFmtId="0" fontId="2" fillId="3" borderId="18" xfId="0" applyFont="1" applyFill="1" applyBorder="1" applyAlignment="1">
      <alignment horizontal="right" vertical="top" wrapText="1"/>
    </xf>
    <xf numFmtId="0" fontId="2" fillId="3" borderId="19" xfId="0" applyFont="1" applyFill="1" applyBorder="1" applyAlignment="1">
      <alignment horizontal="right" vertical="top" wrapText="1"/>
    </xf>
    <xf numFmtId="0" fontId="2" fillId="3" borderId="20" xfId="0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 applyProtection="1">
      <alignment horizontal="left" vertical="top" wrapText="1"/>
      <protection locked="0"/>
    </xf>
    <xf numFmtId="0" fontId="8" fillId="4" borderId="10" xfId="0" applyFont="1" applyFill="1" applyBorder="1" applyAlignment="1" applyProtection="1">
      <alignment horizontal="left" vertical="top"/>
      <protection locked="0"/>
    </xf>
    <xf numFmtId="0" fontId="9" fillId="5" borderId="10" xfId="0" applyFont="1" applyFill="1" applyBorder="1" applyAlignment="1" applyProtection="1">
      <alignment horizontal="left" vertical="top" wrapText="1"/>
      <protection locked="0"/>
    </xf>
    <xf numFmtId="0" fontId="7" fillId="3" borderId="10" xfId="0" applyFont="1" applyFill="1" applyBorder="1" applyAlignment="1" applyProtection="1">
      <alignment horizontal="left" vertical="top"/>
      <protection locked="0"/>
    </xf>
    <xf numFmtId="170" fontId="7" fillId="3" borderId="17" xfId="1" applyNumberFormat="1" applyFont="1" applyFill="1" applyBorder="1" applyAlignment="1" applyProtection="1">
      <alignment vertical="top"/>
      <protection locked="0"/>
    </xf>
    <xf numFmtId="173" fontId="9" fillId="6" borderId="17" xfId="0" applyNumberFormat="1" applyFont="1" applyFill="1" applyBorder="1" applyAlignment="1" applyProtection="1">
      <alignment vertical="top"/>
      <protection locked="0"/>
    </xf>
    <xf numFmtId="173" fontId="8" fillId="4" borderId="17" xfId="0" applyNumberFormat="1" applyFont="1" applyFill="1" applyBorder="1" applyAlignment="1" applyProtection="1">
      <alignment vertical="top"/>
      <protection locked="0"/>
    </xf>
    <xf numFmtId="173" fontId="9" fillId="5" borderId="17" xfId="0" applyNumberFormat="1" applyFont="1" applyFill="1" applyBorder="1" applyAlignment="1" applyProtection="1">
      <alignment vertical="top"/>
      <protection locked="0"/>
    </xf>
    <xf numFmtId="173" fontId="7" fillId="3" borderId="17" xfId="0" applyNumberFormat="1" applyFont="1" applyFill="1" applyBorder="1" applyAlignment="1" applyProtection="1">
      <alignment vertical="top"/>
      <protection locked="0"/>
    </xf>
    <xf numFmtId="173" fontId="9" fillId="5" borderId="17" xfId="0" applyNumberFormat="1" applyFont="1" applyFill="1" applyBorder="1" applyAlignment="1" applyProtection="1">
      <alignment vertical="center" wrapText="1"/>
      <protection locked="0"/>
    </xf>
    <xf numFmtId="174" fontId="3" fillId="0" borderId="21" xfId="1" applyNumberFormat="1" applyFont="1" applyBorder="1" applyAlignment="1">
      <alignment horizontal="left" vertical="top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75720</xdr:colOff>
      <xdr:row>1</xdr:row>
      <xdr:rowOff>79374</xdr:rowOff>
    </xdr:from>
    <xdr:to>
      <xdr:col>3</xdr:col>
      <xdr:colOff>597022</xdr:colOff>
      <xdr:row>5</xdr:row>
      <xdr:rowOff>38099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59920" y="269874"/>
          <a:ext cx="788002" cy="72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35"/>
  <sheetViews>
    <sheetView showGridLines="0" tabSelected="1" zoomScaleNormal="100" workbookViewId="0">
      <selection activeCell="H35" sqref="H35"/>
    </sheetView>
  </sheetViews>
  <sheetFormatPr baseColWidth="10" defaultColWidth="11.42578125" defaultRowHeight="15" x14ac:dyDescent="0.25"/>
  <cols>
    <col min="1" max="1" width="4.140625" customWidth="1"/>
    <col min="2" max="2" width="3.42578125" customWidth="1"/>
    <col min="3" max="3" width="12.7109375" customWidth="1"/>
    <col min="4" max="4" width="64" customWidth="1"/>
    <col min="5" max="5" width="26.7109375" bestFit="1" customWidth="1"/>
    <col min="6" max="6" width="22.140625" customWidth="1"/>
    <col min="9" max="9" width="18.28515625" customWidth="1"/>
    <col min="10" max="10" width="3.42578125" customWidth="1"/>
  </cols>
  <sheetData>
    <row r="4" spans="2:10" ht="15.75" thickBot="1" x14ac:dyDescent="0.3"/>
    <row r="5" spans="2:10" ht="15.75" thickTop="1" x14ac:dyDescent="0.25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25">
      <c r="B6" s="4"/>
      <c r="C6" s="54" t="s">
        <v>0</v>
      </c>
      <c r="D6" s="54"/>
      <c r="E6" s="54"/>
      <c r="F6" s="54"/>
      <c r="G6" s="54"/>
      <c r="H6" s="54"/>
      <c r="I6" s="54"/>
      <c r="J6" s="5"/>
    </row>
    <row r="7" spans="2:10" ht="15.75" thickBot="1" x14ac:dyDescent="0.3">
      <c r="B7" s="4"/>
      <c r="J7" s="5"/>
    </row>
    <row r="8" spans="2:10" x14ac:dyDescent="0.25">
      <c r="B8" s="4"/>
      <c r="C8" s="43" t="s">
        <v>9</v>
      </c>
      <c r="D8" s="55" t="s">
        <v>50</v>
      </c>
      <c r="E8" s="55"/>
      <c r="F8" s="55"/>
      <c r="G8" s="55"/>
      <c r="H8" s="55"/>
      <c r="I8" s="56"/>
      <c r="J8" s="5"/>
    </row>
    <row r="9" spans="2:10" ht="15.75" thickBot="1" x14ac:dyDescent="0.3">
      <c r="B9" s="4"/>
      <c r="C9" s="44" t="s">
        <v>10</v>
      </c>
      <c r="D9" s="57" t="s">
        <v>51</v>
      </c>
      <c r="E9" s="57"/>
      <c r="F9" s="57"/>
      <c r="G9" s="57"/>
      <c r="H9" s="57"/>
      <c r="I9" s="58"/>
      <c r="J9" s="5"/>
    </row>
    <row r="10" spans="2:10" ht="15.75" thickBot="1" x14ac:dyDescent="0.3">
      <c r="B10" s="4"/>
      <c r="J10" s="5"/>
    </row>
    <row r="11" spans="2:10" ht="30" customHeight="1" x14ac:dyDescent="0.25">
      <c r="B11" s="4"/>
      <c r="C11" s="59" t="s">
        <v>1</v>
      </c>
      <c r="D11" s="61" t="s">
        <v>22</v>
      </c>
      <c r="E11" s="61" t="s">
        <v>2</v>
      </c>
      <c r="F11" s="61" t="s">
        <v>3</v>
      </c>
      <c r="G11" s="61" t="s">
        <v>7</v>
      </c>
      <c r="H11" s="61"/>
      <c r="I11" s="63" t="s">
        <v>5</v>
      </c>
      <c r="J11" s="5"/>
    </row>
    <row r="12" spans="2:10" x14ac:dyDescent="0.25">
      <c r="B12" s="4"/>
      <c r="C12" s="60"/>
      <c r="D12" s="62"/>
      <c r="E12" s="62"/>
      <c r="F12" s="62"/>
      <c r="G12" s="10" t="s">
        <v>4</v>
      </c>
      <c r="H12" s="10" t="s">
        <v>6</v>
      </c>
      <c r="I12" s="64"/>
      <c r="J12" s="5"/>
    </row>
    <row r="13" spans="2:10" x14ac:dyDescent="0.25">
      <c r="B13" s="4"/>
      <c r="C13" s="38">
        <v>1</v>
      </c>
      <c r="D13" s="11" t="s">
        <v>52</v>
      </c>
      <c r="E13" s="12"/>
      <c r="F13" s="13"/>
      <c r="G13" s="14"/>
      <c r="H13" s="14"/>
      <c r="I13" s="69">
        <v>120000</v>
      </c>
      <c r="J13" s="5"/>
    </row>
    <row r="14" spans="2:10" x14ac:dyDescent="0.25">
      <c r="B14" s="4"/>
      <c r="C14" s="39">
        <v>1.1000000000000001</v>
      </c>
      <c r="D14" s="15" t="s">
        <v>53</v>
      </c>
      <c r="E14" s="16"/>
      <c r="F14" s="17"/>
      <c r="G14" s="18"/>
      <c r="H14" s="18"/>
      <c r="I14" s="40"/>
      <c r="J14" s="5"/>
    </row>
    <row r="15" spans="2:10" ht="150" customHeight="1" x14ac:dyDescent="0.25">
      <c r="B15" s="4"/>
      <c r="C15" s="41" t="s">
        <v>11</v>
      </c>
      <c r="D15" s="22" t="s">
        <v>54</v>
      </c>
      <c r="E15" s="23" t="s">
        <v>71</v>
      </c>
      <c r="F15" s="25" t="s">
        <v>72</v>
      </c>
      <c r="G15" s="21">
        <v>46235</v>
      </c>
      <c r="H15" s="21">
        <v>46371</v>
      </c>
      <c r="I15" s="74">
        <v>60000</v>
      </c>
      <c r="J15" s="5"/>
    </row>
    <row r="16" spans="2:10" x14ac:dyDescent="0.25">
      <c r="B16" s="4"/>
      <c r="C16" s="42" t="s">
        <v>23</v>
      </c>
      <c r="D16" s="26" t="s">
        <v>55</v>
      </c>
      <c r="E16" s="27" t="s">
        <v>71</v>
      </c>
      <c r="F16" s="65" t="s">
        <v>72</v>
      </c>
      <c r="G16" s="28">
        <v>46235</v>
      </c>
      <c r="H16" s="28">
        <v>46371</v>
      </c>
      <c r="I16" s="70">
        <v>0</v>
      </c>
      <c r="J16" s="5"/>
    </row>
    <row r="17" spans="2:10" x14ac:dyDescent="0.25">
      <c r="B17" s="4"/>
      <c r="C17" s="39">
        <v>1.2</v>
      </c>
      <c r="D17" s="15" t="s">
        <v>56</v>
      </c>
      <c r="E17" s="16"/>
      <c r="F17" s="66"/>
      <c r="G17" s="18"/>
      <c r="H17" s="18"/>
      <c r="I17" s="71"/>
      <c r="J17" s="5"/>
    </row>
    <row r="18" spans="2:10" x14ac:dyDescent="0.25">
      <c r="B18" s="4"/>
      <c r="C18" s="41" t="s">
        <v>15</v>
      </c>
      <c r="D18" s="19" t="s">
        <v>57</v>
      </c>
      <c r="E18" s="20" t="s">
        <v>13</v>
      </c>
      <c r="F18" s="67" t="s">
        <v>72</v>
      </c>
      <c r="G18" s="21">
        <v>46249</v>
      </c>
      <c r="H18" s="21">
        <v>46371</v>
      </c>
      <c r="I18" s="72">
        <v>60000</v>
      </c>
      <c r="J18" s="5"/>
    </row>
    <row r="19" spans="2:10" x14ac:dyDescent="0.25">
      <c r="B19" s="4"/>
      <c r="C19" s="42" t="s">
        <v>24</v>
      </c>
      <c r="D19" s="26" t="s">
        <v>58</v>
      </c>
      <c r="E19" s="27" t="s">
        <v>13</v>
      </c>
      <c r="F19" s="65" t="s">
        <v>72</v>
      </c>
      <c r="G19" s="28">
        <v>46249</v>
      </c>
      <c r="H19" s="28">
        <v>46371</v>
      </c>
      <c r="I19" s="70">
        <v>60000</v>
      </c>
      <c r="J19" s="5"/>
    </row>
    <row r="20" spans="2:10" x14ac:dyDescent="0.25">
      <c r="B20" s="4"/>
      <c r="C20" s="38">
        <v>2</v>
      </c>
      <c r="D20" s="11" t="s">
        <v>59</v>
      </c>
      <c r="E20" s="12"/>
      <c r="F20" s="68"/>
      <c r="G20" s="14"/>
      <c r="H20" s="14"/>
      <c r="I20" s="73">
        <v>0</v>
      </c>
      <c r="J20" s="5"/>
    </row>
    <row r="21" spans="2:10" x14ac:dyDescent="0.25">
      <c r="B21" s="4"/>
      <c r="C21" s="39">
        <v>2.1</v>
      </c>
      <c r="D21" s="15" t="s">
        <v>60</v>
      </c>
      <c r="E21" s="16"/>
      <c r="F21" s="66"/>
      <c r="G21" s="18"/>
      <c r="H21" s="18"/>
      <c r="I21" s="71"/>
      <c r="J21" s="5"/>
    </row>
    <row r="22" spans="2:10" x14ac:dyDescent="0.25">
      <c r="B22" s="4"/>
      <c r="C22" s="41" t="s">
        <v>19</v>
      </c>
      <c r="D22" s="19" t="s">
        <v>61</v>
      </c>
      <c r="E22" s="20" t="s">
        <v>71</v>
      </c>
      <c r="F22" s="67" t="s">
        <v>72</v>
      </c>
      <c r="G22" s="21">
        <v>46266</v>
      </c>
      <c r="H22" s="21">
        <v>46310</v>
      </c>
      <c r="I22" s="72">
        <v>0</v>
      </c>
      <c r="J22" s="5"/>
    </row>
    <row r="23" spans="2:10" x14ac:dyDescent="0.25">
      <c r="B23" s="4"/>
      <c r="C23" s="42" t="s">
        <v>25</v>
      </c>
      <c r="D23" s="26" t="s">
        <v>62</v>
      </c>
      <c r="E23" s="27" t="s">
        <v>71</v>
      </c>
      <c r="F23" s="65" t="s">
        <v>74</v>
      </c>
      <c r="G23" s="28">
        <v>46296</v>
      </c>
      <c r="H23" s="28">
        <v>46310</v>
      </c>
      <c r="I23" s="70">
        <v>0</v>
      </c>
      <c r="J23" s="5"/>
    </row>
    <row r="24" spans="2:10" x14ac:dyDescent="0.25">
      <c r="B24" s="4"/>
      <c r="C24" s="39">
        <v>2.2000000000000002</v>
      </c>
      <c r="D24" s="15" t="s">
        <v>63</v>
      </c>
      <c r="E24" s="16"/>
      <c r="F24" s="66"/>
      <c r="G24" s="18"/>
      <c r="H24" s="18"/>
      <c r="I24" s="71"/>
      <c r="J24" s="5"/>
    </row>
    <row r="25" spans="2:10" ht="25.5" x14ac:dyDescent="0.25">
      <c r="B25" s="4"/>
      <c r="C25" s="41" t="s">
        <v>20</v>
      </c>
      <c r="D25" s="19" t="s">
        <v>64</v>
      </c>
      <c r="E25" s="20" t="s">
        <v>71</v>
      </c>
      <c r="F25" s="67" t="s">
        <v>73</v>
      </c>
      <c r="G25" s="21">
        <v>46270</v>
      </c>
      <c r="H25" s="21">
        <v>46371</v>
      </c>
      <c r="I25" s="72">
        <v>0</v>
      </c>
      <c r="J25" s="5"/>
    </row>
    <row r="26" spans="2:10" x14ac:dyDescent="0.25">
      <c r="B26" s="4"/>
      <c r="C26" s="42" t="s">
        <v>26</v>
      </c>
      <c r="D26" s="26" t="s">
        <v>65</v>
      </c>
      <c r="E26" s="27" t="s">
        <v>71</v>
      </c>
      <c r="F26" s="65" t="s">
        <v>72</v>
      </c>
      <c r="G26" s="28">
        <v>46270</v>
      </c>
      <c r="H26" s="28">
        <v>46371</v>
      </c>
      <c r="I26" s="70">
        <v>0</v>
      </c>
      <c r="J26" s="5"/>
    </row>
    <row r="27" spans="2:10" x14ac:dyDescent="0.25">
      <c r="B27" s="4"/>
      <c r="C27" s="38">
        <v>3</v>
      </c>
      <c r="D27" s="11" t="s">
        <v>66</v>
      </c>
      <c r="E27" s="12"/>
      <c r="F27" s="68"/>
      <c r="G27" s="14"/>
      <c r="H27" s="14"/>
      <c r="I27" s="73">
        <v>0</v>
      </c>
      <c r="J27" s="5"/>
    </row>
    <row r="28" spans="2:10" x14ac:dyDescent="0.25">
      <c r="B28" s="4"/>
      <c r="C28" s="39">
        <v>3.1</v>
      </c>
      <c r="D28" s="15" t="s">
        <v>67</v>
      </c>
      <c r="E28" s="16"/>
      <c r="F28" s="66"/>
      <c r="G28" s="18"/>
      <c r="H28" s="18"/>
      <c r="I28" s="71"/>
      <c r="J28" s="5"/>
    </row>
    <row r="29" spans="2:10" x14ac:dyDescent="0.25">
      <c r="B29" s="4"/>
      <c r="C29" s="41" t="s">
        <v>21</v>
      </c>
      <c r="D29" s="19" t="s">
        <v>68</v>
      </c>
      <c r="E29" s="20" t="s">
        <v>70</v>
      </c>
      <c r="F29" s="67" t="s">
        <v>72</v>
      </c>
      <c r="G29" s="21">
        <v>46235</v>
      </c>
      <c r="H29" s="21">
        <v>46295</v>
      </c>
      <c r="I29" s="72">
        <v>0</v>
      </c>
      <c r="J29" s="5"/>
    </row>
    <row r="30" spans="2:10" x14ac:dyDescent="0.25">
      <c r="B30" s="4"/>
      <c r="C30" s="42" t="s">
        <v>27</v>
      </c>
      <c r="D30" s="26" t="s">
        <v>69</v>
      </c>
      <c r="E30" s="27" t="s">
        <v>70</v>
      </c>
      <c r="F30" s="65" t="s">
        <v>72</v>
      </c>
      <c r="G30" s="28">
        <v>46235</v>
      </c>
      <c r="H30" s="28">
        <v>46295</v>
      </c>
      <c r="I30" s="70">
        <v>0</v>
      </c>
      <c r="J30" s="5"/>
    </row>
    <row r="31" spans="2:10" ht="15.75" thickBot="1" x14ac:dyDescent="0.3">
      <c r="B31" s="4"/>
      <c r="C31" s="51" t="s">
        <v>8</v>
      </c>
      <c r="D31" s="52"/>
      <c r="E31" s="52"/>
      <c r="F31" s="52"/>
      <c r="G31" s="52"/>
      <c r="H31" s="53"/>
      <c r="I31" s="75">
        <v>120000</v>
      </c>
      <c r="J31" s="5"/>
    </row>
    <row r="32" spans="2:10" ht="15.75" thickBot="1" x14ac:dyDescent="0.3">
      <c r="B32" s="6"/>
      <c r="C32" s="7"/>
      <c r="D32" s="7"/>
      <c r="E32" s="7"/>
      <c r="F32" s="7"/>
      <c r="G32" s="7"/>
      <c r="H32" s="7"/>
      <c r="I32" s="7"/>
      <c r="J32" s="8"/>
    </row>
    <row r="33" spans="3:4" ht="15.75" thickTop="1" x14ac:dyDescent="0.25"/>
    <row r="34" spans="3:4" x14ac:dyDescent="0.25">
      <c r="C34" s="9"/>
      <c r="D34" s="30" t="s">
        <v>28</v>
      </c>
    </row>
    <row r="35" spans="3:4" ht="45" x14ac:dyDescent="0.25">
      <c r="C35" s="9"/>
      <c r="D35" s="29" t="s">
        <v>29</v>
      </c>
    </row>
  </sheetData>
  <mergeCells count="10">
    <mergeCell ref="C31:H31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K37"/>
  <sheetViews>
    <sheetView showGridLines="0" zoomScaleNormal="100" workbookViewId="0">
      <selection activeCell="E2" sqref="E2"/>
    </sheetView>
  </sheetViews>
  <sheetFormatPr baseColWidth="10" defaultColWidth="11.42578125" defaultRowHeight="15" x14ac:dyDescent="0.25"/>
  <cols>
    <col min="1" max="1" width="4.140625" customWidth="1"/>
    <col min="2" max="3" width="3.42578125" customWidth="1"/>
    <col min="4" max="4" width="12.7109375" customWidth="1"/>
    <col min="5" max="5" width="48.7109375" bestFit="1" customWidth="1"/>
    <col min="6" max="6" width="26.7109375" bestFit="1" customWidth="1"/>
    <col min="7" max="7" width="22.140625" customWidth="1"/>
    <col min="9" max="9" width="13.7109375" customWidth="1"/>
    <col min="10" max="10" width="18.28515625" customWidth="1"/>
    <col min="11" max="11" width="3.42578125" customWidth="1"/>
  </cols>
  <sheetData>
    <row r="6" spans="3:11" ht="15.75" thickBot="1" x14ac:dyDescent="0.3"/>
    <row r="7" spans="3:11" ht="15.75" thickTop="1" x14ac:dyDescent="0.25">
      <c r="C7" s="1"/>
      <c r="D7" s="2"/>
      <c r="E7" s="2"/>
      <c r="F7" s="2"/>
      <c r="G7" s="2"/>
      <c r="H7" s="2"/>
      <c r="I7" s="2"/>
      <c r="J7" s="2"/>
      <c r="K7" s="3"/>
    </row>
    <row r="8" spans="3:11" ht="21" x14ac:dyDescent="0.25">
      <c r="C8" s="4"/>
      <c r="D8" s="54" t="s">
        <v>0</v>
      </c>
      <c r="E8" s="54"/>
      <c r="F8" s="54"/>
      <c r="G8" s="54"/>
      <c r="H8" s="54"/>
      <c r="I8" s="54"/>
      <c r="J8" s="54"/>
      <c r="K8" s="5"/>
    </row>
    <row r="9" spans="3:11" ht="15.75" thickBot="1" x14ac:dyDescent="0.3">
      <c r="C9" s="4"/>
      <c r="K9" s="5"/>
    </row>
    <row r="10" spans="3:11" x14ac:dyDescent="0.25">
      <c r="C10" s="4"/>
      <c r="D10" s="43" t="s">
        <v>9</v>
      </c>
      <c r="E10" s="55" t="s">
        <v>49</v>
      </c>
      <c r="F10" s="55"/>
      <c r="G10" s="55"/>
      <c r="H10" s="55"/>
      <c r="I10" s="55"/>
      <c r="J10" s="56"/>
      <c r="K10" s="5"/>
    </row>
    <row r="11" spans="3:11" ht="15.75" thickBot="1" x14ac:dyDescent="0.3">
      <c r="C11" s="4"/>
      <c r="D11" s="44" t="s">
        <v>10</v>
      </c>
      <c r="E11" s="57" t="s">
        <v>48</v>
      </c>
      <c r="F11" s="57"/>
      <c r="G11" s="57"/>
      <c r="H11" s="57"/>
      <c r="I11" s="57"/>
      <c r="J11" s="58"/>
      <c r="K11" s="5"/>
    </row>
    <row r="12" spans="3:11" ht="15.75" thickBot="1" x14ac:dyDescent="0.3">
      <c r="C12" s="4"/>
      <c r="K12" s="5"/>
    </row>
    <row r="13" spans="3:11" ht="15" customHeight="1" x14ac:dyDescent="0.25">
      <c r="C13" s="4"/>
      <c r="D13" s="59" t="s">
        <v>1</v>
      </c>
      <c r="E13" s="61" t="s">
        <v>22</v>
      </c>
      <c r="F13" s="61" t="s">
        <v>2</v>
      </c>
      <c r="G13" s="61" t="s">
        <v>3</v>
      </c>
      <c r="H13" s="61" t="s">
        <v>7</v>
      </c>
      <c r="I13" s="61"/>
      <c r="J13" s="63" t="s">
        <v>5</v>
      </c>
      <c r="K13" s="5"/>
    </row>
    <row r="14" spans="3:11" x14ac:dyDescent="0.25">
      <c r="C14" s="4"/>
      <c r="D14" s="60"/>
      <c r="E14" s="62"/>
      <c r="F14" s="62"/>
      <c r="G14" s="62"/>
      <c r="H14" s="10" t="s">
        <v>4</v>
      </c>
      <c r="I14" s="10" t="s">
        <v>6</v>
      </c>
      <c r="J14" s="64"/>
      <c r="K14" s="5"/>
    </row>
    <row r="15" spans="3:11" x14ac:dyDescent="0.25">
      <c r="C15" s="4"/>
      <c r="D15" s="38">
        <v>1</v>
      </c>
      <c r="E15" s="11" t="s">
        <v>31</v>
      </c>
      <c r="F15" s="12"/>
      <c r="G15" s="13"/>
      <c r="H15" s="14"/>
      <c r="I15" s="14"/>
      <c r="J15" s="45">
        <f>J17+J19+J20</f>
        <v>23750000</v>
      </c>
      <c r="K15" s="5"/>
    </row>
    <row r="16" spans="3:11" x14ac:dyDescent="0.25">
      <c r="C16" s="4"/>
      <c r="D16" s="39">
        <v>1.1000000000000001</v>
      </c>
      <c r="E16" s="15" t="s">
        <v>30</v>
      </c>
      <c r="F16" s="16"/>
      <c r="G16" s="17"/>
      <c r="H16" s="18"/>
      <c r="I16" s="18"/>
      <c r="J16" s="40"/>
      <c r="K16" s="5"/>
    </row>
    <row r="17" spans="3:11" x14ac:dyDescent="0.25">
      <c r="C17" s="4"/>
      <c r="D17" s="41" t="s">
        <v>11</v>
      </c>
      <c r="E17" s="22" t="s">
        <v>32</v>
      </c>
      <c r="F17" s="31" t="s">
        <v>35</v>
      </c>
      <c r="G17" s="25" t="s">
        <v>14</v>
      </c>
      <c r="H17" s="21">
        <v>40695</v>
      </c>
      <c r="I17" s="21">
        <v>41274</v>
      </c>
      <c r="J17" s="46">
        <v>18450000</v>
      </c>
      <c r="K17" s="5"/>
    </row>
    <row r="18" spans="3:11" x14ac:dyDescent="0.25">
      <c r="C18" s="4"/>
      <c r="D18" s="39">
        <v>1.2</v>
      </c>
      <c r="E18" s="15" t="s">
        <v>33</v>
      </c>
      <c r="F18" s="32"/>
      <c r="G18" s="17"/>
      <c r="H18" s="18"/>
      <c r="I18" s="18"/>
      <c r="J18" s="47"/>
      <c r="K18" s="5"/>
    </row>
    <row r="19" spans="3:11" x14ac:dyDescent="0.25">
      <c r="C19" s="4"/>
      <c r="D19" s="41" t="s">
        <v>15</v>
      </c>
      <c r="E19" s="19" t="s">
        <v>36</v>
      </c>
      <c r="F19" s="33" t="s">
        <v>13</v>
      </c>
      <c r="G19" s="25" t="s">
        <v>12</v>
      </c>
      <c r="H19" s="21">
        <v>40695</v>
      </c>
      <c r="I19" s="21">
        <v>40915</v>
      </c>
      <c r="J19" s="46">
        <v>4850000</v>
      </c>
      <c r="K19" s="5"/>
    </row>
    <row r="20" spans="3:11" x14ac:dyDescent="0.25">
      <c r="C20" s="4"/>
      <c r="D20" s="39">
        <v>1.3</v>
      </c>
      <c r="E20" s="15" t="s">
        <v>47</v>
      </c>
      <c r="F20" s="35" t="s">
        <v>35</v>
      </c>
      <c r="G20" s="36" t="s">
        <v>14</v>
      </c>
      <c r="H20" s="18">
        <v>40826</v>
      </c>
      <c r="I20" s="18">
        <v>40893</v>
      </c>
      <c r="J20" s="47">
        <v>450000</v>
      </c>
      <c r="K20" s="5"/>
    </row>
    <row r="21" spans="3:11" x14ac:dyDescent="0.25">
      <c r="C21" s="4"/>
      <c r="D21" s="38">
        <v>2</v>
      </c>
      <c r="E21" s="11" t="s">
        <v>34</v>
      </c>
      <c r="F21" s="34"/>
      <c r="G21" s="13"/>
      <c r="H21" s="14"/>
      <c r="I21" s="14"/>
      <c r="J21" s="45">
        <f>SUM(J23:J24)</f>
        <v>2750000</v>
      </c>
      <c r="K21" s="5"/>
    </row>
    <row r="22" spans="3:11" x14ac:dyDescent="0.25">
      <c r="C22" s="4"/>
      <c r="D22" s="39">
        <v>2.1</v>
      </c>
      <c r="E22" s="15" t="s">
        <v>37</v>
      </c>
      <c r="F22" s="32"/>
      <c r="G22" s="17"/>
      <c r="H22" s="18"/>
      <c r="I22" s="18"/>
      <c r="J22" s="40"/>
      <c r="K22" s="5"/>
    </row>
    <row r="23" spans="3:11" x14ac:dyDescent="0.25">
      <c r="C23" s="4"/>
      <c r="D23" s="41" t="s">
        <v>19</v>
      </c>
      <c r="E23" s="19" t="s">
        <v>38</v>
      </c>
      <c r="F23" s="33" t="s">
        <v>16</v>
      </c>
      <c r="G23" s="24" t="s">
        <v>14</v>
      </c>
      <c r="H23" s="21">
        <v>40695</v>
      </c>
      <c r="I23" s="21">
        <v>40797</v>
      </c>
      <c r="J23" s="46">
        <v>1000000</v>
      </c>
      <c r="K23" s="5"/>
    </row>
    <row r="24" spans="3:11" x14ac:dyDescent="0.25">
      <c r="C24" s="4"/>
      <c r="D24" s="42" t="s">
        <v>25</v>
      </c>
      <c r="E24" s="26" t="s">
        <v>39</v>
      </c>
      <c r="F24" s="37" t="s">
        <v>16</v>
      </c>
      <c r="G24" s="37" t="s">
        <v>14</v>
      </c>
      <c r="H24" s="28">
        <v>40966</v>
      </c>
      <c r="I24" s="28">
        <v>41033</v>
      </c>
      <c r="J24" s="48">
        <v>1750000</v>
      </c>
      <c r="K24" s="5"/>
    </row>
    <row r="25" spans="3:11" x14ac:dyDescent="0.25">
      <c r="C25" s="4"/>
      <c r="D25" s="38">
        <v>3</v>
      </c>
      <c r="E25" s="11" t="s">
        <v>40</v>
      </c>
      <c r="F25" s="34"/>
      <c r="G25" s="13"/>
      <c r="H25" s="14"/>
      <c r="I25" s="14"/>
      <c r="J25" s="45">
        <f>SUM(J26:J27)</f>
        <v>1500000</v>
      </c>
      <c r="K25" s="5"/>
    </row>
    <row r="26" spans="3:11" x14ac:dyDescent="0.25">
      <c r="C26" s="4"/>
      <c r="D26" s="39">
        <v>3.1</v>
      </c>
      <c r="E26" s="15" t="s">
        <v>41</v>
      </c>
      <c r="F26" s="35" t="s">
        <v>35</v>
      </c>
      <c r="G26" s="36" t="s">
        <v>14</v>
      </c>
      <c r="H26" s="18">
        <v>40697</v>
      </c>
      <c r="I26" s="18">
        <v>40797</v>
      </c>
      <c r="J26" s="49">
        <v>450000</v>
      </c>
      <c r="K26" s="5"/>
    </row>
    <row r="27" spans="3:11" x14ac:dyDescent="0.25">
      <c r="C27" s="4"/>
      <c r="D27" s="39">
        <v>3.2</v>
      </c>
      <c r="E27" s="15" t="s">
        <v>42</v>
      </c>
      <c r="F27" s="35" t="s">
        <v>35</v>
      </c>
      <c r="G27" s="36" t="s">
        <v>14</v>
      </c>
      <c r="H27" s="18">
        <v>40717</v>
      </c>
      <c r="I27" s="18">
        <v>40784</v>
      </c>
      <c r="J27" s="49">
        <v>1050000</v>
      </c>
      <c r="K27" s="5"/>
    </row>
    <row r="28" spans="3:11" x14ac:dyDescent="0.25">
      <c r="C28" s="4"/>
      <c r="D28" s="38">
        <v>4</v>
      </c>
      <c r="E28" s="11" t="s">
        <v>43</v>
      </c>
      <c r="F28" s="34"/>
      <c r="G28" s="13"/>
      <c r="H28" s="14"/>
      <c r="I28" s="14"/>
      <c r="J28" s="45">
        <f>SUM(J29:J31)</f>
        <v>2000000</v>
      </c>
      <c r="K28" s="5"/>
    </row>
    <row r="29" spans="3:11" x14ac:dyDescent="0.25">
      <c r="C29" s="4"/>
      <c r="D29" s="39">
        <v>4.0999999999999996</v>
      </c>
      <c r="E29" s="15" t="s">
        <v>44</v>
      </c>
      <c r="F29" s="35" t="s">
        <v>16</v>
      </c>
      <c r="G29" s="36" t="s">
        <v>14</v>
      </c>
      <c r="H29" s="18">
        <v>40695</v>
      </c>
      <c r="I29" s="18">
        <v>41455</v>
      </c>
      <c r="J29" s="49">
        <v>1380000</v>
      </c>
      <c r="K29" s="5"/>
    </row>
    <row r="30" spans="3:11" x14ac:dyDescent="0.25">
      <c r="C30" s="4"/>
      <c r="D30" s="39">
        <v>4.2</v>
      </c>
      <c r="E30" s="15" t="s">
        <v>45</v>
      </c>
      <c r="F30" s="35" t="s">
        <v>16</v>
      </c>
      <c r="G30" s="36" t="s">
        <v>12</v>
      </c>
      <c r="H30" s="18">
        <v>41456</v>
      </c>
      <c r="I30" s="18">
        <v>41486</v>
      </c>
      <c r="J30" s="49">
        <v>310000</v>
      </c>
      <c r="K30" s="5"/>
    </row>
    <row r="31" spans="3:11" x14ac:dyDescent="0.25">
      <c r="C31" s="4"/>
      <c r="D31" s="39">
        <v>4.3</v>
      </c>
      <c r="E31" s="15" t="s">
        <v>46</v>
      </c>
      <c r="F31" s="35" t="s">
        <v>16</v>
      </c>
      <c r="G31" s="36" t="s">
        <v>14</v>
      </c>
      <c r="H31" s="18">
        <v>41456</v>
      </c>
      <c r="I31" s="18">
        <v>41486</v>
      </c>
      <c r="J31" s="49">
        <v>310000</v>
      </c>
      <c r="K31" s="5"/>
    </row>
    <row r="32" spans="3:11" ht="15.75" thickBot="1" x14ac:dyDescent="0.3">
      <c r="C32" s="4"/>
      <c r="D32" s="51" t="s">
        <v>8</v>
      </c>
      <c r="E32" s="52"/>
      <c r="F32" s="52"/>
      <c r="G32" s="52"/>
      <c r="H32" s="52"/>
      <c r="I32" s="53"/>
      <c r="J32" s="50">
        <f>J15+J21+J25+J28</f>
        <v>30000000</v>
      </c>
      <c r="K32" s="5"/>
    </row>
    <row r="33" spans="3:11" ht="15.75" thickBot="1" x14ac:dyDescent="0.3">
      <c r="C33" s="6"/>
      <c r="D33" s="7"/>
      <c r="E33" s="7"/>
      <c r="F33" s="7"/>
      <c r="G33" s="7"/>
      <c r="H33" s="7"/>
      <c r="I33" s="7"/>
      <c r="J33" s="7"/>
      <c r="K33" s="8"/>
    </row>
    <row r="34" spans="3:11" ht="15.75" thickTop="1" x14ac:dyDescent="0.25"/>
    <row r="35" spans="3:11" x14ac:dyDescent="0.25">
      <c r="D35" s="9"/>
      <c r="E35" s="30"/>
    </row>
    <row r="36" spans="3:11" x14ac:dyDescent="0.25">
      <c r="C36" s="9" t="s">
        <v>17</v>
      </c>
    </row>
    <row r="37" spans="3:11" x14ac:dyDescent="0.25">
      <c r="C37" s="9" t="s">
        <v>18</v>
      </c>
    </row>
  </sheetData>
  <mergeCells count="10">
    <mergeCell ref="D32:I32"/>
    <mergeCell ref="D8:J8"/>
    <mergeCell ref="E10:J10"/>
    <mergeCell ref="E11:J11"/>
    <mergeCell ref="D13:D14"/>
    <mergeCell ref="E13:E14"/>
    <mergeCell ref="F13:F14"/>
    <mergeCell ref="G13:G14"/>
    <mergeCell ref="H13:I13"/>
    <mergeCell ref="J13:J14"/>
  </mergeCells>
  <pageMargins left="0.7" right="0.7" top="0.75" bottom="0.75" header="0.3" footer="0.3"/>
  <pageSetup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Adquisiciones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LUCAS ALONSO OLEA CORNEJO</cp:lastModifiedBy>
  <dcterms:created xsi:type="dcterms:W3CDTF">2012-05-16T15:42:04Z</dcterms:created>
  <dcterms:modified xsi:type="dcterms:W3CDTF">2026-09-12T22:45:01Z</dcterms:modified>
</cp:coreProperties>
</file>