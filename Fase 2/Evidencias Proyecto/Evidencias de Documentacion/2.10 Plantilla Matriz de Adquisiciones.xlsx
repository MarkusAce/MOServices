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Adquisiciones" sheetId="1" r:id="rId4"/>
  </sheets>
  <definedNames/>
  <calcPr/>
  <extLst>
    <ext uri="GoogleSheetsCustomDataVersion2">
      <go:sheetsCustomData xmlns:go="http://customooxmlschemas.google.com/" r:id="rId5" roundtripDataChecksum="xfrq7Rvu0cEN5FdUcyNT4nxVOojtPWCARqZvzbJ62Cw="/>
    </ext>
  </extLst>
</workbook>
</file>

<file path=xl/sharedStrings.xml><?xml version="1.0" encoding="utf-8"?>
<sst xmlns="http://schemas.openxmlformats.org/spreadsheetml/2006/main" count="108" uniqueCount="87">
  <si>
    <t>Matriz de Adquisiciones</t>
  </si>
  <si>
    <t>Proyecto:</t>
  </si>
  <si>
    <t>RollerApp , Sistema Integrado de Cotización, Venta y Agendamiento de Visitas Técnicas de Cortinas</t>
  </si>
  <si>
    <t>ID:</t>
  </si>
  <si>
    <t>RA-2026-PORT</t>
  </si>
  <si>
    <t>Código EDT</t>
  </si>
  <si>
    <t>Estructura de la EDT</t>
  </si>
  <si>
    <t>Tipo de Adquisición</t>
  </si>
  <si>
    <t>Modalidad de Adquisición</t>
  </si>
  <si>
    <t>Fechas Estimadas</t>
  </si>
  <si>
    <t>Presupuesto Estimado</t>
  </si>
  <si>
    <t>Inicio</t>
  </si>
  <si>
    <t>Fin</t>
  </si>
  <si>
    <t>1</t>
  </si>
  <si>
    <t>RollerApp</t>
  </si>
  <si>
    <t>1.1</t>
  </si>
  <si>
    <t>Gestion del proyecto</t>
  </si>
  <si>
    <t>1.1.1</t>
  </si>
  <si>
    <t>Planificacion y Acta</t>
  </si>
  <si>
    <t>1.1.1.1</t>
  </si>
  <si>
    <t>Perifericos y accesorios</t>
  </si>
  <si>
    <t>Bienes</t>
  </si>
  <si>
    <t>Compra Directa</t>
  </si>
  <si>
    <t>1.1.1.2</t>
  </si>
  <si>
    <t>Disco/Respaldo externo</t>
  </si>
  <si>
    <t>1.1.1.3</t>
  </si>
  <si>
    <t>Equipamiento tecnologico complementario</t>
  </si>
  <si>
    <t>1.1.2</t>
  </si>
  <si>
    <t>Gestion de Sprints (Scrum)</t>
  </si>
  <si>
    <t>1.1.2.1</t>
  </si>
  <si>
    <t>Servicios basicos / Internet (6 Meses)</t>
  </si>
  <si>
    <t>Servicios</t>
  </si>
  <si>
    <t>Contratacion Directa</t>
  </si>
  <si>
    <t>1.1.3</t>
  </si>
  <si>
    <t>Cierre, Manuales y Capacitacion</t>
  </si>
  <si>
    <t>1.1.3.1</t>
  </si>
  <si>
    <t>Documentacion y entrega (Impresiones)</t>
  </si>
  <si>
    <t>1.2</t>
  </si>
  <si>
    <t>Arquitectura y Backend</t>
  </si>
  <si>
    <t>1.2.1</t>
  </si>
  <si>
    <t>Modelo Relacional MySQL (3FN)</t>
  </si>
  <si>
    <t>1.2.1.1</t>
  </si>
  <si>
    <t>Configuracion incial del entorno</t>
  </si>
  <si>
    <t>1.2.2</t>
  </si>
  <si>
    <t>API REST y Seguridad JWT</t>
  </si>
  <si>
    <t>1.2.2.1</t>
  </si>
  <si>
    <t>Licencias / herramientas de desarrollo</t>
  </si>
  <si>
    <t>Suscripcion</t>
  </si>
  <si>
    <t>1.2.3</t>
  </si>
  <si>
    <t>Integraciones (Webpay Plus / SMTP)</t>
  </si>
  <si>
    <t>1.2.3.1</t>
  </si>
  <si>
    <t>Dominio, correos y servicios digitales (6 meses)</t>
  </si>
  <si>
    <t>Suscipcion (SaaS)</t>
  </si>
  <si>
    <t>1.3</t>
  </si>
  <si>
    <t>Plataforma Web (Angular)</t>
  </si>
  <si>
    <t>1.3.1</t>
  </si>
  <si>
    <t>Portal Publico y Catalogo</t>
  </si>
  <si>
    <t>1.3.1.1</t>
  </si>
  <si>
    <t>Diseño / Recursos graficos</t>
  </si>
  <si>
    <t>1.3.2</t>
  </si>
  <si>
    <t>Cotizador Dinamico por m2</t>
  </si>
  <si>
    <t>Desarrollo Interno</t>
  </si>
  <si>
    <t>1.3.3</t>
  </si>
  <si>
    <t>Panel Administrativo (Backoffice)</t>
  </si>
  <si>
    <t>1.4</t>
  </si>
  <si>
    <t>Aplicacion Movil (Ionic / Angular)</t>
  </si>
  <si>
    <t>1.4.1</t>
  </si>
  <si>
    <t>Modulo Clientes (Cotizacion / Agenda)</t>
  </si>
  <si>
    <t>1.4.1.1</t>
  </si>
  <si>
    <t>Pruebas y dispositivos moviles</t>
  </si>
  <si>
    <t>1.4.2</t>
  </si>
  <si>
    <t>Modulo tecnico en Terreno</t>
  </si>
  <si>
    <t>1.5</t>
  </si>
  <si>
    <t>Calidad y Despliegue</t>
  </si>
  <si>
    <t>1.5.1</t>
  </si>
  <si>
    <t>Pruebas Unitarias y de Integracion</t>
  </si>
  <si>
    <t>1.5.2</t>
  </si>
  <si>
    <t>Pruebas de Usabilidad (UAT / SUS)</t>
  </si>
  <si>
    <t>1.5.3</t>
  </si>
  <si>
    <t>Despliegue Cloud (Render/Vercel)</t>
  </si>
  <si>
    <t>1.5.3.1</t>
  </si>
  <si>
    <t>Configuracion Cloud y despliegue</t>
  </si>
  <si>
    <t>1.5.3.2</t>
  </si>
  <si>
    <t>Mantencion y soporte</t>
  </si>
  <si>
    <t>Total</t>
  </si>
  <si>
    <t>Nota:</t>
  </si>
  <si>
    <t>Se puede contratar a nivel de producto, entregable o paquete de trabajo. No siempre es necesario desagregar tanto las adquisiciones.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</si>
</sst>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$-340A]#,##0"/>
    <numFmt numFmtId="166" formatCode="_ [$$-340A]* #,##0_ ;_ [$$-340A]* \-#,##0_ ;_ [$$-340A]* &quot;-&quot;_ ;_ @_ 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0"/>
      <name val="Calibri"/>
    </font>
    <font/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orbel"/>
    </font>
    <font>
      <b/>
      <sz val="10.0"/>
      <color rgb="FFFFFFFF"/>
      <name val="Corbel"/>
    </font>
    <font>
      <b/>
      <sz val="10.0"/>
      <color theme="1"/>
      <name val="Corbel"/>
    </font>
    <font>
      <sz val="10.0"/>
      <color theme="1"/>
      <name val="Corbel"/>
    </font>
    <font>
      <b/>
      <u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5073"/>
        <bgColor rgb="FF005073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33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right style="double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2" fontId="2" numFmtId="0" xfId="0" applyAlignment="1" applyBorder="1" applyFill="1" applyFon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8" fillId="0" fontId="1" numFmtId="0" xfId="0" applyBorder="1" applyFont="1"/>
    <xf borderId="9" fillId="3" fontId="4" numFmtId="0" xfId="0" applyAlignment="1" applyBorder="1" applyFill="1" applyFont="1">
      <alignment horizontal="right"/>
    </xf>
    <xf borderId="10" fillId="0" fontId="5" numFmtId="0" xfId="0" applyAlignment="1" applyBorder="1" applyFont="1">
      <alignment horizontal="left" vertical="top"/>
    </xf>
    <xf borderId="11" fillId="0" fontId="3" numFmtId="0" xfId="0" applyBorder="1" applyFont="1"/>
    <xf borderId="12" fillId="0" fontId="3" numFmtId="0" xfId="0" applyBorder="1" applyFont="1"/>
    <xf borderId="13" fillId="3" fontId="4" numFmtId="0" xfId="0" applyAlignment="1" applyBorder="1" applyFill="1" applyFont="1">
      <alignment horizontal="right"/>
    </xf>
    <xf borderId="14" fillId="0" fontId="5" numFmtId="0" xfId="0" applyAlignment="1" applyBorder="1" applyFont="1">
      <alignment horizontal="left" vertical="top"/>
    </xf>
    <xf borderId="15" fillId="0" fontId="3" numFmtId="0" xfId="0" applyBorder="1" applyFont="1"/>
    <xf borderId="16" fillId="0" fontId="3" numFmtId="0" xfId="0" applyBorder="1" applyFont="1"/>
    <xf borderId="17" fillId="3" fontId="4" numFmtId="0" xfId="0" applyAlignment="1" applyBorder="1" applyFill="1" applyFont="1">
      <alignment horizontal="center" shrinkToFit="0" vertical="center" wrapText="1"/>
    </xf>
    <xf borderId="18" fillId="3" fontId="4" numFmtId="0" xfId="0" applyAlignment="1" applyBorder="1" applyFill="1" applyFont="1">
      <alignment horizontal="center" shrinkToFit="0" vertical="center" wrapText="1"/>
    </xf>
    <xf borderId="10" fillId="3" fontId="4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3" fontId="4" numFmtId="0" xfId="0" applyAlignment="1" applyBorder="1" applyFill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3" fontId="4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3" fontId="6" numFmtId="49" xfId="0" applyAlignment="1" applyBorder="1" applyFill="1" applyFont="1" applyNumberFormat="1">
      <alignment horizontal="left" vertical="center"/>
    </xf>
    <xf borderId="26" fillId="3" fontId="7" numFmtId="0" xfId="0" applyAlignment="1" applyBorder="1" applyFill="1" applyFont="1">
      <alignment horizontal="left" readingOrder="0" vertical="top"/>
    </xf>
    <xf borderId="26" fillId="3" fontId="6" numFmtId="9" xfId="0" applyAlignment="1" applyBorder="1" applyFill="1" applyFont="1" applyNumberFormat="1">
      <alignment horizontal="left" vertical="top"/>
    </xf>
    <xf borderId="26" fillId="3" fontId="6" numFmtId="0" xfId="0" applyAlignment="1" applyBorder="1" applyFill="1" applyFont="1">
      <alignment horizontal="left" vertical="top"/>
    </xf>
    <xf borderId="26" fillId="3" fontId="6" numFmtId="164" xfId="0" applyAlignment="1" applyBorder="1" applyFill="1" applyFont="1" applyNumberFormat="1">
      <alignment vertical="top"/>
    </xf>
    <xf borderId="27" fillId="3" fontId="7" numFmtId="165" xfId="0" applyAlignment="1" applyBorder="1" applyFill="1" applyFont="1" applyNumberFormat="1">
      <alignment readingOrder="0" vertical="top"/>
    </xf>
    <xf borderId="25" fillId="4" fontId="8" numFmtId="49" xfId="0" applyAlignment="1" applyBorder="1" applyFill="1" applyFont="1" applyNumberFormat="1">
      <alignment horizontal="left" readingOrder="0" vertical="center"/>
    </xf>
    <xf borderId="26" fillId="4" fontId="8" numFmtId="0" xfId="0" applyAlignment="1" applyBorder="1" applyFill="1" applyFont="1">
      <alignment horizontal="left" readingOrder="0" vertical="top"/>
    </xf>
    <xf borderId="26" fillId="4" fontId="8" numFmtId="9" xfId="0" applyAlignment="1" applyBorder="1" applyFill="1" applyFont="1" applyNumberFormat="1">
      <alignment horizontal="left" vertical="top"/>
    </xf>
    <xf borderId="26" fillId="4" fontId="8" numFmtId="0" xfId="0" applyAlignment="1" applyBorder="1" applyFill="1" applyFont="1">
      <alignment horizontal="left" vertical="top"/>
    </xf>
    <xf borderId="26" fillId="4" fontId="8" numFmtId="164" xfId="0" applyAlignment="1" applyBorder="1" applyFill="1" applyFont="1" applyNumberFormat="1">
      <alignment vertical="top"/>
    </xf>
    <xf borderId="27" fillId="4" fontId="8" numFmtId="164" xfId="0" applyAlignment="1" applyBorder="1" applyFill="1" applyFont="1" applyNumberFormat="1">
      <alignment vertical="top"/>
    </xf>
    <xf borderId="25" fillId="5" fontId="9" numFmtId="49" xfId="0" applyAlignment="1" applyBorder="1" applyFill="1" applyFont="1" applyNumberFormat="1">
      <alignment horizontal="left" vertical="center"/>
    </xf>
    <xf borderId="26" fillId="5" fontId="9" numFmtId="0" xfId="0" applyAlignment="1" applyBorder="1" applyFill="1" applyFont="1">
      <alignment horizontal="left" readingOrder="0" vertical="center"/>
    </xf>
    <xf borderId="26" fillId="5" fontId="9" numFmtId="9" xfId="0" applyAlignment="1" applyBorder="1" applyFill="1" applyFont="1" applyNumberFormat="1">
      <alignment horizontal="left" shrinkToFit="0" vertical="center" wrapText="1"/>
    </xf>
    <xf borderId="26" fillId="5" fontId="9" numFmtId="0" xfId="0" applyAlignment="1" applyBorder="1" applyFill="1" applyFont="1">
      <alignment horizontal="left" shrinkToFit="0" vertical="center" wrapText="1"/>
    </xf>
    <xf borderId="26" fillId="5" fontId="9" numFmtId="164" xfId="0" applyAlignment="1" applyBorder="1" applyFill="1" applyFont="1" applyNumberFormat="1">
      <alignment vertical="top"/>
    </xf>
    <xf borderId="27" fillId="5" fontId="9" numFmtId="166" xfId="0" applyAlignment="1" applyBorder="1" applyFill="1" applyFont="1" applyNumberFormat="1">
      <alignment shrinkToFit="0" vertical="center" wrapText="1"/>
    </xf>
    <xf borderId="25" fillId="6" fontId="9" numFmtId="49" xfId="0" applyAlignment="1" applyBorder="1" applyFill="1" applyFont="1" applyNumberFormat="1">
      <alignment horizontal="left" vertical="center"/>
    </xf>
    <xf borderId="26" fillId="6" fontId="9" numFmtId="0" xfId="0" applyAlignment="1" applyBorder="1" applyFill="1" applyFont="1">
      <alignment horizontal="left" readingOrder="0" vertical="top"/>
    </xf>
    <xf borderId="26" fillId="6" fontId="9" numFmtId="0" xfId="0" applyAlignment="1" applyBorder="1" applyFill="1" applyFont="1">
      <alignment horizontal="left" readingOrder="0" shrinkToFit="0" vertical="top" wrapText="1"/>
    </xf>
    <xf borderId="26" fillId="6" fontId="9" numFmtId="164" xfId="0" applyAlignment="1" applyBorder="1" applyFill="1" applyFont="1" applyNumberFormat="1">
      <alignment readingOrder="0" vertical="top"/>
    </xf>
    <xf borderId="27" fillId="6" fontId="9" numFmtId="166" xfId="0" applyAlignment="1" applyBorder="1" applyFill="1" applyFont="1" applyNumberFormat="1">
      <alignment readingOrder="0" vertical="top"/>
    </xf>
    <xf borderId="25" fillId="6" fontId="9" numFmtId="49" xfId="0" applyAlignment="1" applyBorder="1" applyFill="1" applyFont="1" applyNumberFormat="1">
      <alignment horizontal="left" readingOrder="0" vertical="center"/>
    </xf>
    <xf borderId="25" fillId="5" fontId="9" numFmtId="49" xfId="0" applyAlignment="1" applyBorder="1" applyFill="1" applyFont="1" applyNumberFormat="1">
      <alignment horizontal="left" readingOrder="0" vertical="center"/>
    </xf>
    <xf borderId="27" fillId="4" fontId="8" numFmtId="166" xfId="0" applyAlignment="1" applyBorder="1" applyFill="1" applyFont="1" applyNumberFormat="1">
      <alignment vertical="top"/>
    </xf>
    <xf borderId="26" fillId="5" fontId="9" numFmtId="0" xfId="0" applyAlignment="1" applyBorder="1" applyFill="1" applyFont="1">
      <alignment horizontal="left" readingOrder="0" shrinkToFit="0" vertical="center" wrapText="1"/>
    </xf>
    <xf borderId="26" fillId="6" fontId="9" numFmtId="0" xfId="0" applyAlignment="1" applyBorder="1" applyFill="1" applyFont="1">
      <alignment readingOrder="0" vertical="top"/>
    </xf>
    <xf borderId="28" fillId="3" fontId="4" numFmtId="0" xfId="0" applyAlignment="1" applyBorder="1" applyFill="1" applyFont="1">
      <alignment horizontal="right" shrinkToFit="0" vertical="top" wrapText="1"/>
    </xf>
    <xf borderId="29" fillId="0" fontId="3" numFmtId="0" xfId="0" applyBorder="1" applyFont="1"/>
    <xf borderId="27" fillId="0" fontId="9" numFmtId="166" xfId="0" applyAlignment="1" applyBorder="1" applyFont="1" applyNumberFormat="1">
      <alignment readingOrder="0" vertical="top"/>
    </xf>
    <xf borderId="30" fillId="0" fontId="1" numFmtId="0" xfId="0" applyBorder="1" applyFont="1"/>
    <xf borderId="31" fillId="0" fontId="1" numFmtId="0" xfId="0" applyBorder="1" applyFont="1"/>
    <xf borderId="32" fillId="0" fontId="1" numFmtId="0" xfId="0" applyBorder="1" applyFont="1"/>
    <xf borderId="0" fillId="0" fontId="5" numFmtId="0" xfId="0" applyFont="1"/>
    <xf borderId="0" fillId="0" fontId="10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66675</xdr:rowOff>
    </xdr:from>
    <xdr:ext cx="6667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3.43"/>
    <col customWidth="1" min="3" max="3" width="12.71"/>
    <col customWidth="1" min="4" max="4" width="64.0"/>
    <col customWidth="1" min="5" max="5" width="26.71"/>
    <col customWidth="1" min="6" max="6" width="22.14"/>
    <col customWidth="1" min="7" max="8" width="11.43"/>
    <col customWidth="1" min="9" max="9" width="18.29"/>
    <col customWidth="1" min="10" max="10" width="3.43"/>
    <col customWidth="1" min="11" max="26" width="11.43"/>
  </cols>
  <sheetData>
    <row r="5">
      <c r="B5" s="1"/>
      <c r="C5" s="2"/>
      <c r="D5" s="2"/>
      <c r="E5" s="2"/>
      <c r="F5" s="2"/>
      <c r="G5" s="2"/>
      <c r="H5" s="2"/>
      <c r="I5" s="2"/>
      <c r="J5" s="3"/>
    </row>
    <row r="6">
      <c r="B6" s="4"/>
      <c r="C6" s="5" t="s">
        <v>0</v>
      </c>
      <c r="D6" s="6"/>
      <c r="E6" s="6"/>
      <c r="F6" s="6"/>
      <c r="G6" s="6"/>
      <c r="H6" s="6"/>
      <c r="I6" s="7"/>
      <c r="J6" s="8"/>
    </row>
    <row r="7">
      <c r="B7" s="4"/>
      <c r="J7" s="8"/>
    </row>
    <row r="8">
      <c r="B8" s="4"/>
      <c r="C8" s="9" t="s">
        <v>1</v>
      </c>
      <c r="D8" s="10" t="s">
        <v>2</v>
      </c>
      <c r="E8" s="11"/>
      <c r="F8" s="11"/>
      <c r="G8" s="11"/>
      <c r="H8" s="11"/>
      <c r="I8" s="12"/>
      <c r="J8" s="8"/>
    </row>
    <row r="9">
      <c r="B9" s="4"/>
      <c r="C9" s="13" t="s">
        <v>3</v>
      </c>
      <c r="D9" s="14" t="s">
        <v>4</v>
      </c>
      <c r="E9" s="15"/>
      <c r="F9" s="15"/>
      <c r="G9" s="15"/>
      <c r="H9" s="15"/>
      <c r="I9" s="16"/>
      <c r="J9" s="8"/>
    </row>
    <row r="10">
      <c r="B10" s="4"/>
      <c r="J10" s="8"/>
    </row>
    <row r="11" ht="30.0" customHeight="1">
      <c r="B11" s="4"/>
      <c r="C11" s="17" t="s">
        <v>5</v>
      </c>
      <c r="D11" s="18" t="s">
        <v>6</v>
      </c>
      <c r="E11" s="18" t="s">
        <v>7</v>
      </c>
      <c r="F11" s="18" t="s">
        <v>8</v>
      </c>
      <c r="G11" s="19" t="s">
        <v>9</v>
      </c>
      <c r="H11" s="20"/>
      <c r="I11" s="21" t="s">
        <v>10</v>
      </c>
      <c r="J11" s="8"/>
    </row>
    <row r="12">
      <c r="B12" s="4"/>
      <c r="C12" s="22"/>
      <c r="D12" s="23"/>
      <c r="E12" s="23"/>
      <c r="F12" s="23"/>
      <c r="G12" s="24" t="s">
        <v>11</v>
      </c>
      <c r="H12" s="24" t="s">
        <v>12</v>
      </c>
      <c r="I12" s="25"/>
      <c r="J12" s="8"/>
    </row>
    <row r="13">
      <c r="B13" s="4"/>
      <c r="C13" s="26" t="s">
        <v>13</v>
      </c>
      <c r="D13" s="27" t="s">
        <v>14</v>
      </c>
      <c r="E13" s="28"/>
      <c r="F13" s="29"/>
      <c r="G13" s="30"/>
      <c r="H13" s="30"/>
      <c r="I13" s="31">
        <f>SUM(I16:I44)</f>
        <v>4430000</v>
      </c>
      <c r="J13" s="8"/>
    </row>
    <row r="14">
      <c r="B14" s="4"/>
      <c r="C14" s="32" t="s">
        <v>15</v>
      </c>
      <c r="D14" s="33" t="s">
        <v>16</v>
      </c>
      <c r="E14" s="34"/>
      <c r="F14" s="35"/>
      <c r="G14" s="36"/>
      <c r="H14" s="36"/>
      <c r="I14" s="37"/>
      <c r="J14" s="8"/>
    </row>
    <row r="15" ht="21.75" customHeight="1">
      <c r="B15" s="4"/>
      <c r="C15" s="38" t="s">
        <v>17</v>
      </c>
      <c r="D15" s="39" t="s">
        <v>18</v>
      </c>
      <c r="E15" s="40"/>
      <c r="F15" s="41"/>
      <c r="G15" s="42"/>
      <c r="H15" s="42"/>
      <c r="I15" s="43"/>
      <c r="J15" s="8"/>
    </row>
    <row r="16">
      <c r="B16" s="4"/>
      <c r="C16" s="44" t="s">
        <v>19</v>
      </c>
      <c r="D16" s="45" t="s">
        <v>20</v>
      </c>
      <c r="E16" s="45" t="s">
        <v>21</v>
      </c>
      <c r="F16" s="46" t="s">
        <v>22</v>
      </c>
      <c r="G16" s="47">
        <v>46252.0</v>
      </c>
      <c r="H16" s="47">
        <v>46264.0</v>
      </c>
      <c r="I16" s="48">
        <v>250000.0</v>
      </c>
      <c r="J16" s="8"/>
    </row>
    <row r="17">
      <c r="B17" s="4"/>
      <c r="C17" s="49" t="s">
        <v>23</v>
      </c>
      <c r="D17" s="45" t="s">
        <v>24</v>
      </c>
      <c r="E17" s="45" t="s">
        <v>21</v>
      </c>
      <c r="F17" s="46" t="s">
        <v>22</v>
      </c>
      <c r="G17" s="47">
        <v>46252.0</v>
      </c>
      <c r="H17" s="47">
        <v>46264.0</v>
      </c>
      <c r="I17" s="48">
        <v>150000.0</v>
      </c>
      <c r="J17" s="8"/>
    </row>
    <row r="18">
      <c r="B18" s="4"/>
      <c r="C18" s="49" t="s">
        <v>25</v>
      </c>
      <c r="D18" s="45" t="s">
        <v>26</v>
      </c>
      <c r="E18" s="45" t="s">
        <v>21</v>
      </c>
      <c r="F18" s="46" t="s">
        <v>22</v>
      </c>
      <c r="G18" s="47">
        <v>46252.0</v>
      </c>
      <c r="H18" s="47">
        <v>46272.0</v>
      </c>
      <c r="I18" s="48">
        <v>500000.0</v>
      </c>
      <c r="J18" s="8"/>
    </row>
    <row r="19">
      <c r="B19" s="4"/>
      <c r="C19" s="50" t="s">
        <v>27</v>
      </c>
      <c r="D19" s="39" t="s">
        <v>28</v>
      </c>
      <c r="E19" s="40"/>
      <c r="F19" s="41"/>
      <c r="G19" s="42"/>
      <c r="H19" s="42"/>
      <c r="I19" s="43"/>
      <c r="J19" s="8"/>
    </row>
    <row r="20">
      <c r="B20" s="4"/>
      <c r="C20" s="49" t="s">
        <v>29</v>
      </c>
      <c r="D20" s="45" t="s">
        <v>30</v>
      </c>
      <c r="E20" s="45" t="s">
        <v>31</v>
      </c>
      <c r="F20" s="46" t="s">
        <v>32</v>
      </c>
      <c r="G20" s="47">
        <v>46252.0</v>
      </c>
      <c r="H20" s="47">
        <v>46442.0</v>
      </c>
      <c r="I20" s="48">
        <v>600000.0</v>
      </c>
      <c r="J20" s="8"/>
    </row>
    <row r="21">
      <c r="B21" s="4"/>
      <c r="C21" s="50" t="s">
        <v>33</v>
      </c>
      <c r="D21" s="39" t="s">
        <v>34</v>
      </c>
      <c r="E21" s="40"/>
      <c r="F21" s="41"/>
      <c r="G21" s="42"/>
      <c r="H21" s="42"/>
      <c r="I21" s="43"/>
      <c r="J21" s="8"/>
    </row>
    <row r="22">
      <c r="B22" s="4"/>
      <c r="C22" s="49" t="s">
        <v>35</v>
      </c>
      <c r="D22" s="45" t="s">
        <v>36</v>
      </c>
      <c r="E22" s="45" t="s">
        <v>21</v>
      </c>
      <c r="F22" s="46" t="s">
        <v>22</v>
      </c>
      <c r="G22" s="47">
        <v>46371.0</v>
      </c>
      <c r="H22" s="47">
        <v>46386.0</v>
      </c>
      <c r="I22" s="48">
        <v>100000.0</v>
      </c>
      <c r="J22" s="8"/>
    </row>
    <row r="23">
      <c r="B23" s="4"/>
      <c r="C23" s="32" t="s">
        <v>37</v>
      </c>
      <c r="D23" s="33" t="s">
        <v>38</v>
      </c>
      <c r="E23" s="34"/>
      <c r="F23" s="35"/>
      <c r="G23" s="36"/>
      <c r="H23" s="36"/>
      <c r="I23" s="51"/>
      <c r="J23" s="8"/>
    </row>
    <row r="24">
      <c r="B24" s="4"/>
      <c r="C24" s="50" t="s">
        <v>39</v>
      </c>
      <c r="D24" s="39" t="s">
        <v>40</v>
      </c>
      <c r="E24" s="40"/>
      <c r="F24" s="41"/>
      <c r="G24" s="42"/>
      <c r="H24" s="42"/>
      <c r="I24" s="43"/>
      <c r="J24" s="8"/>
    </row>
    <row r="25">
      <c r="B25" s="4"/>
      <c r="C25" s="49" t="s">
        <v>41</v>
      </c>
      <c r="D25" s="45" t="s">
        <v>42</v>
      </c>
      <c r="E25" s="45" t="s">
        <v>31</v>
      </c>
      <c r="F25" s="46" t="s">
        <v>32</v>
      </c>
      <c r="G25" s="47">
        <v>46258.0</v>
      </c>
      <c r="H25" s="47">
        <v>46272.0</v>
      </c>
      <c r="I25" s="48">
        <v>100000.0</v>
      </c>
      <c r="J25" s="8"/>
    </row>
    <row r="26">
      <c r="B26" s="4"/>
      <c r="C26" s="50" t="s">
        <v>43</v>
      </c>
      <c r="D26" s="39" t="s">
        <v>44</v>
      </c>
      <c r="E26" s="40"/>
      <c r="F26" s="41"/>
      <c r="G26" s="42"/>
      <c r="H26" s="42"/>
      <c r="I26" s="43"/>
      <c r="J26" s="8"/>
    </row>
    <row r="27">
      <c r="B27" s="4"/>
      <c r="C27" s="49" t="s">
        <v>45</v>
      </c>
      <c r="D27" s="45" t="s">
        <v>46</v>
      </c>
      <c r="E27" s="45" t="s">
        <v>21</v>
      </c>
      <c r="F27" s="46" t="s">
        <v>47</v>
      </c>
      <c r="G27" s="47">
        <v>46280.0</v>
      </c>
      <c r="H27" s="47">
        <v>46310.0</v>
      </c>
      <c r="I27" s="48">
        <v>150000.0</v>
      </c>
      <c r="J27" s="8"/>
    </row>
    <row r="28">
      <c r="B28" s="4"/>
      <c r="C28" s="50" t="s">
        <v>48</v>
      </c>
      <c r="D28" s="39" t="s">
        <v>49</v>
      </c>
      <c r="E28" s="40"/>
      <c r="F28" s="41"/>
      <c r="G28" s="42"/>
      <c r="H28" s="42"/>
      <c r="I28" s="43"/>
      <c r="J28" s="8"/>
    </row>
    <row r="29">
      <c r="B29" s="4"/>
      <c r="C29" s="49" t="s">
        <v>50</v>
      </c>
      <c r="D29" s="45" t="s">
        <v>51</v>
      </c>
      <c r="E29" s="45" t="s">
        <v>31</v>
      </c>
      <c r="F29" s="46" t="s">
        <v>52</v>
      </c>
      <c r="G29" s="47">
        <v>46258.0</v>
      </c>
      <c r="H29" s="47">
        <v>46442.0</v>
      </c>
      <c r="I29" s="48">
        <v>180000.0</v>
      </c>
      <c r="J29" s="8"/>
    </row>
    <row r="30">
      <c r="B30" s="4"/>
      <c r="C30" s="32" t="s">
        <v>53</v>
      </c>
      <c r="D30" s="33" t="s">
        <v>54</v>
      </c>
      <c r="E30" s="34"/>
      <c r="F30" s="35"/>
      <c r="G30" s="36"/>
      <c r="H30" s="36"/>
      <c r="I30" s="51"/>
      <c r="J30" s="8"/>
    </row>
    <row r="31">
      <c r="B31" s="4"/>
      <c r="C31" s="50" t="s">
        <v>55</v>
      </c>
      <c r="D31" s="39" t="s">
        <v>56</v>
      </c>
      <c r="E31" s="40"/>
      <c r="F31" s="41"/>
      <c r="G31" s="42"/>
      <c r="H31" s="42"/>
      <c r="I31" s="43"/>
      <c r="J31" s="8"/>
    </row>
    <row r="32">
      <c r="B32" s="4"/>
      <c r="C32" s="49" t="s">
        <v>57</v>
      </c>
      <c r="D32" s="45" t="s">
        <v>58</v>
      </c>
      <c r="E32" s="45" t="s">
        <v>31</v>
      </c>
      <c r="F32" s="46" t="s">
        <v>32</v>
      </c>
      <c r="G32" s="47">
        <v>46289.0</v>
      </c>
      <c r="H32" s="47">
        <v>46310.0</v>
      </c>
      <c r="I32" s="48">
        <v>150000.0</v>
      </c>
      <c r="J32" s="8"/>
    </row>
    <row r="33">
      <c r="B33" s="4"/>
      <c r="C33" s="50" t="s">
        <v>59</v>
      </c>
      <c r="D33" s="39" t="s">
        <v>60</v>
      </c>
      <c r="E33" s="40"/>
      <c r="F33" s="52" t="s">
        <v>61</v>
      </c>
      <c r="G33" s="42"/>
      <c r="H33" s="42"/>
      <c r="I33" s="43"/>
      <c r="J33" s="8"/>
    </row>
    <row r="34">
      <c r="B34" s="4"/>
      <c r="C34" s="50" t="s">
        <v>62</v>
      </c>
      <c r="D34" s="39" t="s">
        <v>63</v>
      </c>
      <c r="E34" s="40"/>
      <c r="F34" s="52" t="s">
        <v>61</v>
      </c>
      <c r="G34" s="42"/>
      <c r="H34" s="42"/>
      <c r="I34" s="43"/>
      <c r="J34" s="8"/>
    </row>
    <row r="35">
      <c r="B35" s="4"/>
      <c r="C35" s="32" t="s">
        <v>64</v>
      </c>
      <c r="D35" s="33" t="s">
        <v>65</v>
      </c>
      <c r="E35" s="34"/>
      <c r="F35" s="35"/>
      <c r="G35" s="36"/>
      <c r="H35" s="36"/>
      <c r="I35" s="51"/>
      <c r="J35" s="8"/>
    </row>
    <row r="36">
      <c r="B36" s="4"/>
      <c r="C36" s="50" t="s">
        <v>66</v>
      </c>
      <c r="D36" s="39" t="s">
        <v>67</v>
      </c>
      <c r="E36" s="40"/>
      <c r="F36" s="41"/>
      <c r="G36" s="42"/>
      <c r="H36" s="42"/>
      <c r="I36" s="43"/>
      <c r="J36" s="8"/>
    </row>
    <row r="37">
      <c r="B37" s="4"/>
      <c r="C37" s="49" t="s">
        <v>68</v>
      </c>
      <c r="D37" s="45" t="s">
        <v>69</v>
      </c>
      <c r="E37" s="45" t="s">
        <v>21</v>
      </c>
      <c r="F37" s="46" t="s">
        <v>22</v>
      </c>
      <c r="G37" s="47">
        <v>46341.0</v>
      </c>
      <c r="H37" s="47">
        <v>46371.0</v>
      </c>
      <c r="I37" s="48">
        <v>250000.0</v>
      </c>
      <c r="J37" s="8"/>
    </row>
    <row r="38">
      <c r="B38" s="4"/>
      <c r="C38" s="50" t="s">
        <v>70</v>
      </c>
      <c r="D38" s="39" t="s">
        <v>71</v>
      </c>
      <c r="E38" s="40"/>
      <c r="F38" s="41"/>
      <c r="G38" s="42"/>
      <c r="H38" s="42"/>
      <c r="I38" s="43"/>
      <c r="J38" s="8"/>
    </row>
    <row r="39">
      <c r="B39" s="4"/>
      <c r="C39" s="32" t="s">
        <v>72</v>
      </c>
      <c r="D39" s="33" t="s">
        <v>73</v>
      </c>
      <c r="E39" s="34"/>
      <c r="F39" s="35"/>
      <c r="G39" s="36"/>
      <c r="H39" s="36"/>
      <c r="I39" s="51"/>
      <c r="J39" s="8"/>
    </row>
    <row r="40">
      <c r="B40" s="4"/>
      <c r="C40" s="50" t="s">
        <v>74</v>
      </c>
      <c r="D40" s="39" t="s">
        <v>75</v>
      </c>
      <c r="E40" s="40"/>
      <c r="F40" s="52" t="s">
        <v>61</v>
      </c>
      <c r="G40" s="42"/>
      <c r="H40" s="42"/>
      <c r="I40" s="43"/>
      <c r="J40" s="8"/>
    </row>
    <row r="41">
      <c r="B41" s="4"/>
      <c r="C41" s="50" t="s">
        <v>76</v>
      </c>
      <c r="D41" s="39" t="s">
        <v>77</v>
      </c>
      <c r="E41" s="40"/>
      <c r="F41" s="52" t="s">
        <v>61</v>
      </c>
      <c r="G41" s="42"/>
      <c r="H41" s="42"/>
      <c r="I41" s="43"/>
      <c r="J41" s="8"/>
    </row>
    <row r="42">
      <c r="B42" s="4"/>
      <c r="C42" s="50" t="s">
        <v>78</v>
      </c>
      <c r="D42" s="39" t="s">
        <v>79</v>
      </c>
      <c r="E42" s="40"/>
      <c r="F42" s="52"/>
      <c r="G42" s="42"/>
      <c r="H42" s="42"/>
      <c r="I42" s="43"/>
      <c r="J42" s="8"/>
    </row>
    <row r="43">
      <c r="B43" s="4"/>
      <c r="C43" s="49" t="s">
        <v>80</v>
      </c>
      <c r="D43" s="53" t="s">
        <v>81</v>
      </c>
      <c r="E43" s="53" t="s">
        <v>31</v>
      </c>
      <c r="F43" s="46" t="s">
        <v>32</v>
      </c>
      <c r="G43" s="47">
        <v>46371.0</v>
      </c>
      <c r="H43" s="47">
        <v>46386.0</v>
      </c>
      <c r="I43" s="48">
        <v>200000.0</v>
      </c>
      <c r="J43" s="8"/>
    </row>
    <row r="44">
      <c r="B44" s="4"/>
      <c r="C44" s="49" t="s">
        <v>82</v>
      </c>
      <c r="D44" s="53" t="s">
        <v>83</v>
      </c>
      <c r="E44" s="53" t="s">
        <v>31</v>
      </c>
      <c r="F44" s="46" t="s">
        <v>32</v>
      </c>
      <c r="G44" s="47">
        <v>46371.0</v>
      </c>
      <c r="H44" s="47">
        <v>46568.0</v>
      </c>
      <c r="I44" s="48">
        <v>1800000.0</v>
      </c>
      <c r="J44" s="8"/>
    </row>
    <row r="45" ht="15.75" customHeight="1">
      <c r="B45" s="4"/>
      <c r="C45" s="54" t="s">
        <v>84</v>
      </c>
      <c r="D45" s="15"/>
      <c r="E45" s="15"/>
      <c r="F45" s="15"/>
      <c r="G45" s="15"/>
      <c r="H45" s="55"/>
      <c r="I45" s="56">
        <f>SUM(I14:I44)</f>
        <v>4430000</v>
      </c>
      <c r="J45" s="8"/>
    </row>
    <row r="46" ht="15.75" customHeight="1">
      <c r="B46" s="57"/>
      <c r="C46" s="58"/>
      <c r="D46" s="58"/>
      <c r="E46" s="58"/>
      <c r="F46" s="58"/>
      <c r="G46" s="58"/>
      <c r="H46" s="58"/>
      <c r="I46" s="58"/>
      <c r="J46" s="59"/>
    </row>
    <row r="47" ht="15.75" customHeight="1"/>
    <row r="48" ht="15.75" customHeight="1">
      <c r="C48" s="60"/>
      <c r="D48" s="61" t="s">
        <v>85</v>
      </c>
    </row>
    <row r="49" ht="15.75" customHeight="1">
      <c r="C49" s="60"/>
      <c r="D49" s="62" t="s">
        <v>86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0">
    <mergeCell ref="G11:H11"/>
    <mergeCell ref="I11:I12"/>
    <mergeCell ref="C6:I6"/>
    <mergeCell ref="D8:I8"/>
    <mergeCell ref="D9:I9"/>
    <mergeCell ref="C11:C12"/>
    <mergeCell ref="D11:D12"/>
    <mergeCell ref="E11:E12"/>
    <mergeCell ref="F11:F12"/>
    <mergeCell ref="C45:H45"/>
  </mergeCells>
  <printOptions/>
  <pageMargins bottom="0.75" footer="0.0" header="0.0" left="0.7" right="0.7" top="0.75"/>
  <pageSetup scale="5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2012-05-16T15:42:04Z</dcterms:created>
  <dc:creator>hrizo</dc:creator>
</cp:coreProperties>
</file>