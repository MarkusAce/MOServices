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 Recursos Bajo" sheetId="1" r:id="rId4"/>
    <sheet state="visible" name="Presupuesto Detallado Bajo" sheetId="2" r:id="rId5"/>
    <sheet state="visible" name="Por Recursos Medio" sheetId="3" r:id="rId6"/>
    <sheet state="visible" name="Presupuesto Detallado Medio" sheetId="4" r:id="rId7"/>
    <sheet state="visible" name="Por Recursos Alto" sheetId="5" r:id="rId8"/>
    <sheet state="visible" name="Presupuesto Detallado Alto" sheetId="6" r:id="rId9"/>
    <sheet state="visible" name="Datos" sheetId="7" r:id="rId10"/>
    <sheet state="visible" name="Instructivo" sheetId="8" r:id="rId11"/>
  </sheets>
  <definedNames/>
  <calcPr/>
  <extLst>
    <ext uri="GoogleSheetsCustomDataVersion2">
      <go:sheetsCustomData xmlns:go="http://customooxmlschemas.google.com/" r:id="rId12" roundtripDataChecksum="RQ509O2CPkQwZgSNyGONv/HjDpq0kUQFwEmuAIPgNKY="/>
    </ext>
  </extLst>
</workbook>
</file>

<file path=xl/sharedStrings.xml><?xml version="1.0" encoding="utf-8"?>
<sst xmlns="http://schemas.openxmlformats.org/spreadsheetml/2006/main" count="463" uniqueCount="113">
  <si>
    <t>Presupuesto de Proyecto Bajo</t>
  </si>
  <si>
    <t>RollerSpA</t>
  </si>
  <si>
    <t>Elaborado por: pmoinformatica.com</t>
  </si>
  <si>
    <t>% Reserva de Contingencia</t>
  </si>
  <si>
    <t>Líder del Proyecto: Lucas Olea</t>
  </si>
  <si>
    <t>Presupuesto</t>
  </si>
  <si>
    <t>Reservas</t>
  </si>
  <si>
    <t>Total</t>
  </si>
  <si>
    <t>Fecha de Inicio: 18/08/2026</t>
  </si>
  <si>
    <t>Categoría</t>
  </si>
  <si>
    <t>Recurso</t>
  </si>
  <si>
    <t>Tipo de Unidades</t>
  </si>
  <si>
    <t>Tasa</t>
  </si>
  <si>
    <t>Costos Directos</t>
  </si>
  <si>
    <t>Labor (Personal)</t>
  </si>
  <si>
    <t>Lucas Olea (Product Owner / Desarrollador)</t>
  </si>
  <si>
    <t>Rodrigo Soto (Arquitectura y UI-UX)</t>
  </si>
  <si>
    <t>Rodrigo Riquelme (QA Lead)</t>
  </si>
  <si>
    <t>Marco Robles (Scrum Master / Gestión de BD)</t>
  </si>
  <si>
    <t>Mantención y soporte (equipo de desarrollo)</t>
  </si>
  <si>
    <t>Materiales</t>
  </si>
  <si>
    <t>Equipamiento tecnológico complementario</t>
  </si>
  <si>
    <t>Periféricos y accesorios</t>
  </si>
  <si>
    <t>Respaldo y almacenamiento externo</t>
  </si>
  <si>
    <t>Dispositivos de prueba móviles</t>
  </si>
  <si>
    <t>Diseño y recursos gráficos</t>
  </si>
  <si>
    <t>Licencias</t>
  </si>
  <si>
    <t>Licencias y herramientas de desarrollo</t>
  </si>
  <si>
    <t>Servicios Técnicos</t>
  </si>
  <si>
    <t>Configuración inicial del entorno / Cloud</t>
  </si>
  <si>
    <t>Cloud y despliegue</t>
  </si>
  <si>
    <t>Documentación y entrega</t>
  </si>
  <si>
    <t>Costos Indirectos</t>
  </si>
  <si>
    <t>Servicios básicos / Internet</t>
  </si>
  <si>
    <t>Dominio, correo y servicios digitales</t>
  </si>
  <si>
    <t>Conciliación con el flujo de caja</t>
  </si>
  <si>
    <t>Concepto</t>
  </si>
  <si>
    <t>Flujo de caja</t>
  </si>
  <si>
    <t>Diferencia</t>
  </si>
  <si>
    <t>Costos de personal 6 meses</t>
  </si>
  <si>
    <t>Gastos operacionales</t>
  </si>
  <si>
    <t>Costos tecnológicos</t>
  </si>
  <si>
    <t>Inversión inicial</t>
  </si>
  <si>
    <t>Margen de seguridad / contingencia</t>
  </si>
  <si>
    <t>Costo total estimado</t>
  </si>
  <si>
    <t>Código</t>
  </si>
  <si>
    <t>Tarea / Actividad</t>
  </si>
  <si>
    <t>Elemento</t>
  </si>
  <si>
    <t>Tipo de Recurso</t>
  </si>
  <si>
    <t>Unidades</t>
  </si>
  <si>
    <t>Inversión inicial y arranque (Mes 0 - M2)</t>
  </si>
  <si>
    <t>1.1</t>
  </si>
  <si>
    <t>Inversión inicial (Mes 0)</t>
  </si>
  <si>
    <t>1.1.1</t>
  </si>
  <si>
    <t>Equipamiento y configuración inicial</t>
  </si>
  <si>
    <t>Herramientas y recursos de diseño (M1 - M2)</t>
  </si>
  <si>
    <t>1.2.1</t>
  </si>
  <si>
    <t>Licencias, equipamiento complementario y diseño</t>
  </si>
  <si>
    <t>Desarrollo, pruebas y entrega (M1 - M6)</t>
  </si>
  <si>
    <t>2.1</t>
  </si>
  <si>
    <t>Desarrollo del sistema</t>
  </si>
  <si>
    <t>2.1.1</t>
  </si>
  <si>
    <t>Equipo de desarrollo (M1-M6)</t>
  </si>
  <si>
    <t>Pruebas, despliegue y entrega</t>
  </si>
  <si>
    <t>2.2.1</t>
  </si>
  <si>
    <t>Pruebas y QA (M2-M3)</t>
  </si>
  <si>
    <t>2.2.2</t>
  </si>
  <si>
    <t>Cloud y despliegue (M5)</t>
  </si>
  <si>
    <t>2.2.3</t>
  </si>
  <si>
    <t>Documentación y entrega (M6)</t>
  </si>
  <si>
    <t>Soporte y mantención</t>
  </si>
  <si>
    <t>3.1.1</t>
  </si>
  <si>
    <t>Mantención y soporte (M1-M6)</t>
  </si>
  <si>
    <t>3.2.1</t>
  </si>
  <si>
    <t>Servicios y gastos generales (M1 - M6)</t>
  </si>
  <si>
    <t>Presupuesto de Proyecto Medio</t>
  </si>
  <si>
    <t>Equipamiento tecnológico</t>
  </si>
  <si>
    <t>Materiales QA</t>
  </si>
  <si>
    <t>Presupuesto de Proyecto Alto</t>
  </si>
  <si>
    <t>Equipos móviles para pruebas</t>
  </si>
  <si>
    <t>Seguridad y pruebas</t>
  </si>
  <si>
    <t>Implementación final</t>
  </si>
  <si>
    <t>Arriendo / cowork</t>
  </si>
  <si>
    <t>Presupuesto de Proyecto</t>
  </si>
  <si>
    <t>Tasa Baja</t>
  </si>
  <si>
    <t>Tasa Media</t>
  </si>
  <si>
    <t>Tasa Alta</t>
  </si>
  <si>
    <t>Meses</t>
  </si>
  <si>
    <t>Cantidad</t>
  </si>
  <si>
    <t>Gastos Indirectos</t>
  </si>
  <si>
    <t>Hoja: Tasas</t>
  </si>
  <si>
    <t>Descripción:</t>
  </si>
  <si>
    <t>Se usa para registrar los datos maestros para el cálculo del Presupuesto a partir de los recursos.</t>
  </si>
  <si>
    <t>Columna</t>
  </si>
  <si>
    <t>Instrucciones</t>
  </si>
  <si>
    <t>Aquí se especifica el nombre del Recurso, por ejemplo Analista de Sistemas 1, Electricista 1, Gerente de Proyectos, etc.</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</si>
  <si>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</si>
  <si>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El tipo de unidad para medir la utilización del recurso, para el caso de personas, pueden ser las horas o jornadas, para materiales, la cantidad de piezas, volumenes o peso. Pueden utilizarse otras según sea el caso.</t>
  </si>
  <si>
    <t>La tasa en moneda a aplicar por la utilización del recurso, por ejemplo para personas esto será el costo por hora o jornada, para consultores la tarifa, para materiales el costo unitario, y así sucesivamente según el tipo de recurso.</t>
  </si>
  <si>
    <t>Hoja: Presupuesto detallado</t>
  </si>
  <si>
    <t>Se detallan los costos por recurso para cada actividad del Proyecto. Luego estos se sumarizan por actividades de mayor nivel</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</si>
  <si>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</si>
  <si>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</si>
  <si>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</si>
  <si>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Indica si es un Recurso de tipo Labor, Materiales, Licencias, Gastos por viajes, Gastos indirectos, o cualquier otro.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</si>
  <si>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</si>
  <si>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Aquí se registra el número de unidades del Recurso que consumirá la actividad, debe ser especificado según la estimación realizada (según método de estimación seleccionado).</t>
  </si>
  <si>
    <t>La tasa en moneda a aplicar por la utilización del recurso, su valor lo obtiene el libro Excel automáticamente, buscando en la Hoja "Datos" la Tasa que corresponde al Elemento especificado.</t>
  </si>
  <si>
    <t>Multiplicando la tasa en moneda por el uso del recurso, por las unidades, se obtiene el costo total para la actividad por el uso de dicho recurso.</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</si>
  <si>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</si>
  <si>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</si>
  <si>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</si>
  <si>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En esta columna se sumariza el Presupuesto del Recurso en cada actividad de la hoja de Presupuesto Detallado, presentando de esta forma un subtotal por Recurso.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</si>
</sst>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_ * #,##0.00_ ;_ * \-#,##0.00_ ;_ * &quot;-&quot;??_ ;_ @_ "/>
    <numFmt numFmtId="166" formatCode="d.m"/>
    <numFmt numFmtId="167" formatCode="_ * #,##0_ ;_ * \-#,##0_ ;_ * &quot;-&quot;??_ ;_ @_ "/>
  </numFmts>
  <fonts count="11">
    <font>
      <sz val="11.0"/>
      <color theme="1"/>
      <name val="Calibri"/>
      <scheme val="minor"/>
    </font>
    <font>
      <sz val="11.0"/>
      <color theme="1"/>
      <name val="Calibri"/>
    </font>
    <font>
      <b/>
      <sz val="20.0"/>
      <color theme="1"/>
      <name val="Calibri"/>
    </font>
    <font>
      <b/>
      <sz val="11.0"/>
      <color theme="1"/>
      <name val="Calibri"/>
    </font>
    <font>
      <b/>
      <sz val="14.0"/>
      <color rgb="FF1F497D"/>
      <name val="Calibri"/>
    </font>
    <font>
      <sz val="10.0"/>
      <color theme="1"/>
      <name val="Calibri"/>
    </font>
    <font>
      <sz val="12.0"/>
      <color theme="1"/>
      <name val="Calibri"/>
    </font>
    <font>
      <b/>
      <sz val="12.0"/>
      <color theme="1"/>
      <name val="Calibri"/>
    </font>
    <font>
      <sz val="11.0"/>
      <color rgb="FF000000"/>
      <name val="Calibri"/>
    </font>
    <font>
      <color theme="1"/>
      <name val="Calibri"/>
      <scheme val="minor"/>
    </font>
    <font>
      <b/>
      <sz val="12.0"/>
      <color rgb="FF000000"/>
      <name val="Calibri"/>
    </font>
  </fonts>
  <fills count="5">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s>
  <borders count="5">
    <border/>
    <border>
      <left/>
      <right/>
      <top/>
      <bottom/>
    </border>
    <border>
      <left/>
      <top/>
      <bottom/>
    </border>
    <border>
      <right/>
      <top/>
      <bottom/>
    </border>
    <border>
      <left/>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readingOrder="0"/>
    </xf>
    <xf borderId="1" fillId="2" fontId="3" numFmtId="0" xfId="0" applyAlignment="1" applyBorder="1" applyFill="1" applyFont="1">
      <alignment readingOrder="0"/>
    </xf>
    <xf borderId="1" fillId="2" fontId="4" numFmtId="0" xfId="0" applyBorder="1" applyFill="1" applyFont="1"/>
    <xf borderId="1" fillId="2" fontId="1" numFmtId="9" xfId="0" applyBorder="1" applyFill="1" applyFont="1" applyNumberFormat="1"/>
    <xf borderId="1" fillId="2" fontId="5" numFmtId="0" xfId="0" applyAlignment="1" applyBorder="1" applyFill="1" applyFont="1">
      <alignment readingOrder="0"/>
    </xf>
    <xf borderId="1" fillId="2" fontId="6" numFmtId="0" xfId="0" applyBorder="1" applyFill="1" applyFont="1"/>
    <xf borderId="1" fillId="2" fontId="7" numFmtId="0" xfId="0" applyAlignment="1" applyBorder="1" applyFill="1" applyFont="1">
      <alignment horizontal="center"/>
    </xf>
    <xf borderId="1" fillId="2" fontId="7" numFmtId="0" xfId="0" applyBorder="1" applyFill="1" applyFont="1"/>
    <xf borderId="1" fillId="3" fontId="6" numFmtId="164" xfId="0" applyBorder="1" applyFill="1" applyFont="1" applyNumberFormat="1"/>
    <xf borderId="1" fillId="3" fontId="3" numFmtId="0" xfId="0" applyAlignment="1" applyBorder="1" applyFill="1" applyFont="1">
      <alignment horizontal="left" vertical="top"/>
    </xf>
    <xf borderId="1" fillId="3" fontId="3" numFmtId="164" xfId="0" applyAlignment="1" applyBorder="1" applyFill="1" applyFont="1" applyNumberFormat="1">
      <alignment horizontal="left" vertical="top"/>
    </xf>
    <xf borderId="1" fillId="2" fontId="1" numFmtId="0" xfId="0" applyAlignment="1" applyBorder="1" applyFill="1" applyFont="1">
      <alignment horizontal="left" vertical="top"/>
    </xf>
    <xf borderId="1" fillId="2" fontId="1" numFmtId="164" xfId="0" applyAlignment="1" applyBorder="1" applyFill="1" applyFont="1" applyNumberFormat="1">
      <alignment horizontal="left" vertical="top"/>
    </xf>
    <xf borderId="1" fillId="2" fontId="1" numFmtId="0" xfId="0" applyAlignment="1" applyBorder="1" applyFill="1" applyFont="1">
      <alignment horizontal="left" readingOrder="0" shrinkToFit="0" vertical="top" wrapText="1"/>
    </xf>
    <xf borderId="1" fillId="2" fontId="1" numFmtId="164" xfId="0" applyAlignment="1" applyBorder="1" applyFill="1" applyFont="1" applyNumberFormat="1">
      <alignment horizontal="right" vertical="top"/>
    </xf>
    <xf borderId="1" fillId="2" fontId="1" numFmtId="0" xfId="0" applyAlignment="1" applyBorder="1" applyFill="1" applyFont="1">
      <alignment horizontal="left" readingOrder="0" vertical="top"/>
    </xf>
    <xf borderId="0" fillId="4" fontId="8" numFmtId="0" xfId="0" applyAlignment="1" applyFill="1" applyFont="1">
      <alignment horizontal="left" readingOrder="0" shrinkToFit="0" vertical="top" wrapText="0"/>
    </xf>
    <xf borderId="1" fillId="3" fontId="3" numFmtId="0" xfId="0" applyAlignment="1" applyBorder="1" applyFill="1" applyFont="1">
      <alignment horizontal="left" readingOrder="0" vertical="top"/>
    </xf>
    <xf borderId="1" fillId="3" fontId="3" numFmtId="165" xfId="0" applyAlignment="1" applyBorder="1" applyFill="1" applyFont="1" applyNumberFormat="1">
      <alignment horizontal="left" vertical="top"/>
    </xf>
    <xf borderId="1" fillId="2" fontId="3" numFmtId="0" xfId="0" applyAlignment="1" applyBorder="1" applyFill="1" applyFont="1">
      <alignment horizontal="center" readingOrder="0"/>
    </xf>
    <xf borderId="1" fillId="2" fontId="1" numFmtId="0" xfId="0" applyAlignment="1" applyBorder="1" applyFill="1" applyFont="1">
      <alignment readingOrder="0"/>
    </xf>
    <xf borderId="1" fillId="2" fontId="1" numFmtId="164" xfId="0" applyBorder="1" applyFill="1" applyFont="1" applyNumberFormat="1"/>
    <xf borderId="1" fillId="2" fontId="1" numFmtId="164" xfId="0" applyAlignment="1" applyBorder="1" applyFill="1" applyFont="1" applyNumberFormat="1">
      <alignment readingOrder="0"/>
    </xf>
    <xf borderId="1" fillId="2" fontId="1" numFmtId="9" xfId="0" applyAlignment="1" applyBorder="1" applyFill="1" applyFont="1" applyNumberFormat="1">
      <alignment readingOrder="0"/>
    </xf>
    <xf borderId="1" fillId="2" fontId="7" numFmtId="0" xfId="0" applyAlignment="1" applyBorder="1" applyFill="1" applyFont="1">
      <alignment horizontal="center" shrinkToFit="0" wrapText="1"/>
    </xf>
    <xf borderId="1" fillId="3" fontId="1" numFmtId="0" xfId="0" applyAlignment="1" applyBorder="1" applyFill="1" applyFont="1">
      <alignment horizontal="left" vertical="top"/>
    </xf>
    <xf borderId="1" fillId="3" fontId="1" numFmtId="0" xfId="0" applyAlignment="1" applyBorder="1" applyFill="1" applyFont="1">
      <alignment horizontal="right" vertical="top"/>
    </xf>
    <xf borderId="1" fillId="3" fontId="1" numFmtId="164" xfId="0" applyAlignment="1" applyBorder="1" applyFill="1" applyFont="1" applyNumberFormat="1">
      <alignment horizontal="left" vertical="top"/>
    </xf>
    <xf borderId="1" fillId="2" fontId="1" numFmtId="0" xfId="0" applyAlignment="1" applyBorder="1" applyFill="1" applyFont="1">
      <alignment horizontal="right" vertical="top"/>
    </xf>
    <xf borderId="1" fillId="2" fontId="1" numFmtId="165" xfId="0" applyAlignment="1" applyBorder="1" applyFill="1" applyFont="1" applyNumberFormat="1">
      <alignment horizontal="left" vertical="top"/>
    </xf>
    <xf borderId="1" fillId="2" fontId="1" numFmtId="0" xfId="0" applyAlignment="1" applyBorder="1" applyFill="1" applyFont="1">
      <alignment horizontal="right" readingOrder="0" vertical="top"/>
    </xf>
    <xf borderId="2" fillId="2" fontId="1" numFmtId="0" xfId="0" applyAlignment="1" applyBorder="1" applyFill="1" applyFont="1">
      <alignment horizontal="left" vertical="top"/>
    </xf>
    <xf borderId="0" fillId="4" fontId="8" numFmtId="0" xfId="0" applyAlignment="1" applyFill="1" applyFont="1">
      <alignment horizontal="left" readingOrder="0" shrinkToFit="0" vertical="top" wrapText="1"/>
    </xf>
    <xf borderId="3" fillId="2" fontId="1" numFmtId="165" xfId="0" applyAlignment="1" applyBorder="1" applyFill="1" applyFont="1" applyNumberFormat="1">
      <alignment horizontal="left" vertical="top"/>
    </xf>
    <xf borderId="1" fillId="2" fontId="1" numFmtId="166" xfId="0" applyAlignment="1" applyBorder="1" applyFill="1" applyFont="1" applyNumberFormat="1">
      <alignment horizontal="left" readingOrder="0"/>
    </xf>
    <xf borderId="1" fillId="2" fontId="1" numFmtId="49" xfId="0" applyAlignment="1" applyBorder="1" applyFill="1" applyFont="1" applyNumberFormat="1">
      <alignment readingOrder="0"/>
    </xf>
    <xf borderId="1" fillId="2" fontId="1" numFmtId="166" xfId="0" applyAlignment="1" applyBorder="1" applyFill="1" applyFont="1" applyNumberFormat="1">
      <alignment horizontal="left" readingOrder="0" vertical="top"/>
    </xf>
    <xf borderId="1" fillId="2" fontId="1" numFmtId="49" xfId="0" applyAlignment="1" applyBorder="1" applyFill="1" applyFont="1" applyNumberFormat="1">
      <alignment horizontal="left" readingOrder="0" vertical="top"/>
    </xf>
    <xf borderId="1" fillId="3" fontId="3" numFmtId="164" xfId="0" applyAlignment="1" applyBorder="1" applyFill="1" applyFont="1" applyNumberFormat="1">
      <alignment horizontal="right" vertical="top"/>
    </xf>
    <xf borderId="0" fillId="0" fontId="9" numFmtId="164" xfId="0" applyFont="1" applyNumberFormat="1"/>
    <xf borderId="1" fillId="2" fontId="2" numFmtId="0" xfId="0" applyBorder="1" applyFill="1" applyFont="1"/>
    <xf borderId="1" fillId="2" fontId="1" numFmtId="167" xfId="0" applyBorder="1" applyFill="1" applyFont="1" applyNumberFormat="1"/>
    <xf borderId="1" fillId="2" fontId="6" numFmtId="167" xfId="0" applyBorder="1" applyFill="1" applyFont="1" applyNumberFormat="1"/>
    <xf borderId="0" fillId="4" fontId="10" numFmtId="0" xfId="0" applyAlignment="1" applyFill="1" applyFont="1">
      <alignment horizontal="center" readingOrder="0" shrinkToFit="0" vertical="bottom" wrapText="0"/>
    </xf>
    <xf borderId="0" fillId="4" fontId="10" numFmtId="167" xfId="0" applyAlignment="1" applyFill="1" applyFont="1" applyNumberFormat="1">
      <alignment horizontal="center" readingOrder="0" shrinkToFit="0" vertical="bottom" wrapText="0"/>
    </xf>
    <xf borderId="1" fillId="3" fontId="1" numFmtId="167" xfId="0" applyAlignment="1" applyBorder="1" applyFill="1" applyFont="1" applyNumberFormat="1">
      <alignment horizontal="left" vertical="top"/>
    </xf>
    <xf borderId="0" fillId="4" fontId="8" numFmtId="167" xfId="0" applyAlignment="1" applyFill="1" applyFont="1" applyNumberFormat="1">
      <alignment horizontal="left" readingOrder="0" shrinkToFit="0" vertical="top" wrapText="0"/>
    </xf>
    <xf borderId="0" fillId="4" fontId="8" numFmtId="3" xfId="0" applyAlignment="1" applyFill="1" applyFont="1" applyNumberFormat="1">
      <alignment horizontal="left" readingOrder="0" shrinkToFit="0" vertical="top" wrapText="0"/>
    </xf>
    <xf borderId="0" fillId="4" fontId="8" numFmtId="167" xfId="0" applyAlignment="1" applyFill="1" applyFont="1" applyNumberFormat="1">
      <alignment horizontal="left" shrinkToFit="0" vertical="top" wrapText="0"/>
    </xf>
    <xf borderId="0" fillId="4" fontId="8" numFmtId="0" xfId="0" applyAlignment="1" applyFill="1" applyFont="1">
      <alignment horizontal="left" shrinkToFit="0" vertical="top" wrapText="0"/>
    </xf>
    <xf borderId="1" fillId="2" fontId="3" numFmtId="0" xfId="0" applyBorder="1" applyFill="1" applyFont="1"/>
    <xf borderId="1" fillId="2" fontId="7" numFmtId="0" xfId="0" applyAlignment="1" applyBorder="1" applyFill="1" applyFont="1">
      <alignment horizontal="left"/>
    </xf>
    <xf borderId="4" fillId="2" fontId="1" numFmtId="0" xfId="0" applyAlignment="1" applyBorder="1" applyFill="1" applyFont="1">
      <alignment horizontal="left" vertical="top"/>
    </xf>
    <xf borderId="4" fillId="2" fontId="1" numFmtId="0" xfId="0" applyAlignment="1" applyBorder="1" applyFill="1" applyFont="1">
      <alignment horizontal="left" shrinkToFit="0" vertical="top" wrapText="1"/>
    </xf>
    <xf borderId="1" fillId="2" fontId="1" numFmtId="0" xfId="0" applyAlignment="1" applyBorder="1" applyFill="1" applyFont="1">
      <alignment horizontal="left" shrinkToFit="0" vertical="top" wrapText="1"/>
    </xf>
    <xf borderId="1" fillId="2" fontId="1"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35.71"/>
    <col customWidth="1" min="4" max="4" width="13.29"/>
    <col customWidth="1" min="5" max="5" width="19.0"/>
    <col customWidth="1" min="6" max="6" width="11.43"/>
    <col customWidth="1" min="7" max="7" width="21.29"/>
    <col customWidth="1" min="8" max="26" width="11.43"/>
  </cols>
  <sheetData>
    <row r="1" ht="14.25" customHeight="1">
      <c r="A1" s="1"/>
      <c r="B1" s="2" t="s">
        <v>0</v>
      </c>
      <c r="C1" s="1"/>
      <c r="D1" s="1"/>
      <c r="E1" s="1"/>
      <c r="F1" s="3" t="s">
        <v>1</v>
      </c>
      <c r="G1" s="1"/>
      <c r="H1" s="1"/>
      <c r="I1" s="1"/>
      <c r="J1" s="1"/>
      <c r="K1" s="1"/>
      <c r="L1" s="1"/>
      <c r="M1" s="1"/>
      <c r="N1" s="1"/>
      <c r="O1" s="1"/>
      <c r="P1" s="1"/>
      <c r="Q1" s="1"/>
      <c r="R1" s="1"/>
      <c r="S1" s="1"/>
      <c r="T1" s="1"/>
      <c r="U1" s="1"/>
      <c r="V1" s="1"/>
      <c r="W1" s="1"/>
      <c r="X1" s="1"/>
      <c r="Y1" s="1"/>
      <c r="Z1" s="1"/>
    </row>
    <row r="2" ht="14.25" customHeight="1">
      <c r="A2" s="1"/>
      <c r="B2" s="4" t="s">
        <v>2</v>
      </c>
      <c r="C2" s="1"/>
      <c r="D2" s="1"/>
      <c r="E2" s="1" t="s">
        <v>3</v>
      </c>
      <c r="F2" s="1"/>
      <c r="G2" s="5">
        <f>'Presupuesto Detallado Bajo'!I2</f>
        <v>0.06966538673</v>
      </c>
      <c r="H2" s="1"/>
      <c r="I2" s="1"/>
      <c r="J2" s="1"/>
      <c r="K2" s="1"/>
      <c r="L2" s="1"/>
      <c r="M2" s="1"/>
      <c r="N2" s="1"/>
      <c r="O2" s="1"/>
      <c r="P2" s="1"/>
      <c r="Q2" s="1"/>
      <c r="R2" s="1"/>
      <c r="S2" s="1"/>
      <c r="T2" s="1"/>
      <c r="U2" s="1"/>
      <c r="V2" s="1"/>
      <c r="W2" s="1"/>
      <c r="X2" s="1"/>
      <c r="Y2" s="1"/>
      <c r="Z2" s="1"/>
    </row>
    <row r="3" ht="14.25" customHeight="1">
      <c r="A3" s="1"/>
      <c r="B3" s="6" t="s">
        <v>4</v>
      </c>
      <c r="C3" s="1"/>
      <c r="D3" s="7"/>
      <c r="E3" s="8" t="s">
        <v>5</v>
      </c>
      <c r="F3" s="8" t="s">
        <v>6</v>
      </c>
      <c r="G3" s="8" t="s">
        <v>7</v>
      </c>
      <c r="H3" s="1"/>
      <c r="I3" s="1"/>
      <c r="J3" s="1"/>
      <c r="K3" s="1"/>
      <c r="L3" s="1"/>
      <c r="M3" s="1"/>
      <c r="N3" s="1"/>
      <c r="O3" s="1"/>
      <c r="P3" s="1"/>
      <c r="Q3" s="1"/>
      <c r="R3" s="1"/>
      <c r="S3" s="1"/>
      <c r="T3" s="1"/>
      <c r="U3" s="1"/>
      <c r="V3" s="1"/>
      <c r="W3" s="1"/>
      <c r="X3" s="1"/>
      <c r="Y3" s="1"/>
      <c r="Z3" s="1"/>
    </row>
    <row r="4" ht="14.25" customHeight="1">
      <c r="A4" s="1"/>
      <c r="B4" s="6" t="s">
        <v>8</v>
      </c>
      <c r="C4" s="1"/>
      <c r="D4" s="9" t="s">
        <v>7</v>
      </c>
      <c r="E4" s="10">
        <f>G7+G26</f>
        <v>18230000</v>
      </c>
      <c r="F4" s="10">
        <f>E4*G2</f>
        <v>1270000</v>
      </c>
      <c r="G4" s="10">
        <f>SUM(E4:F4)</f>
        <v>19500000</v>
      </c>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9</v>
      </c>
      <c r="C6" s="8" t="s">
        <v>10</v>
      </c>
      <c r="D6" s="8"/>
      <c r="E6" s="8" t="s">
        <v>11</v>
      </c>
      <c r="F6" s="8" t="s">
        <v>12</v>
      </c>
      <c r="G6" s="8" t="s">
        <v>5</v>
      </c>
      <c r="H6" s="1"/>
      <c r="I6" s="1"/>
      <c r="J6" s="1"/>
      <c r="K6" s="1"/>
      <c r="L6" s="1"/>
      <c r="M6" s="1"/>
      <c r="N6" s="1"/>
      <c r="O6" s="1"/>
      <c r="P6" s="1"/>
      <c r="Q6" s="1"/>
      <c r="R6" s="1"/>
      <c r="S6" s="1"/>
      <c r="T6" s="1"/>
      <c r="U6" s="1"/>
      <c r="V6" s="1"/>
      <c r="W6" s="1"/>
      <c r="X6" s="1"/>
      <c r="Y6" s="1"/>
      <c r="Z6" s="1"/>
    </row>
    <row r="7" ht="14.25" customHeight="1">
      <c r="A7" s="1"/>
      <c r="B7" s="11" t="s">
        <v>13</v>
      </c>
      <c r="C7" s="11"/>
      <c r="D7" s="11"/>
      <c r="E7" s="11"/>
      <c r="F7" s="11"/>
      <c r="G7" s="12">
        <f>G8+G14+G20+G22</f>
        <v>17450000</v>
      </c>
      <c r="H7" s="1"/>
      <c r="I7" s="1"/>
      <c r="J7" s="1"/>
      <c r="K7" s="1"/>
      <c r="L7" s="1"/>
      <c r="M7" s="1"/>
      <c r="N7" s="1"/>
      <c r="O7" s="1"/>
      <c r="P7" s="1"/>
      <c r="Q7" s="1"/>
      <c r="R7" s="1"/>
      <c r="S7" s="1"/>
      <c r="T7" s="1"/>
      <c r="U7" s="1"/>
      <c r="V7" s="1"/>
      <c r="W7" s="1"/>
      <c r="X7" s="1"/>
      <c r="Y7" s="1"/>
      <c r="Z7" s="1"/>
    </row>
    <row r="8" ht="14.25" customHeight="1">
      <c r="A8" s="1"/>
      <c r="B8" s="13" t="s">
        <v>14</v>
      </c>
      <c r="C8" s="13"/>
      <c r="D8" s="13"/>
      <c r="E8" s="13"/>
      <c r="F8" s="13"/>
      <c r="G8" s="14">
        <f>G9+G10+G11+G12+G13</f>
        <v>15600000</v>
      </c>
      <c r="H8" s="1"/>
      <c r="I8" s="1"/>
      <c r="J8" s="1"/>
      <c r="K8" s="1"/>
      <c r="L8" s="1"/>
      <c r="M8" s="1"/>
      <c r="N8" s="1"/>
      <c r="O8" s="1"/>
      <c r="P8" s="1"/>
      <c r="Q8" s="1"/>
      <c r="R8" s="1"/>
      <c r="S8" s="1"/>
      <c r="T8" s="1"/>
      <c r="U8" s="1"/>
      <c r="V8" s="1"/>
      <c r="W8" s="1"/>
      <c r="X8" s="1"/>
      <c r="Y8" s="1"/>
      <c r="Z8" s="1"/>
    </row>
    <row r="9" ht="14.25" customHeight="1">
      <c r="A9" s="1"/>
      <c r="B9" s="13"/>
      <c r="C9" s="15" t="s">
        <v>15</v>
      </c>
      <c r="D9" s="13"/>
      <c r="E9" s="13" t="str">
        <f>VLOOKUP(C9,Datos!$B$8:$E$21,3,)</f>
        <v>Meses</v>
      </c>
      <c r="F9" s="16">
        <f>VLOOKUP(C9,Datos!$B$8:$E$21,4,)</f>
        <v>600000</v>
      </c>
      <c r="G9" s="16">
        <f>SUMIFS('Presupuesto Detallado Bajo'!$I$7:$I$39,'Presupuesto Detallado Bajo'!$D$7:$D$39,$C9)</f>
        <v>3600000</v>
      </c>
      <c r="H9" s="1"/>
      <c r="I9" s="1"/>
      <c r="J9" s="1"/>
      <c r="K9" s="1"/>
      <c r="L9" s="1"/>
      <c r="M9" s="1"/>
      <c r="N9" s="1"/>
      <c r="O9" s="1"/>
      <c r="P9" s="1"/>
      <c r="Q9" s="1"/>
      <c r="R9" s="1"/>
      <c r="S9" s="1"/>
      <c r="T9" s="1"/>
      <c r="U9" s="1"/>
      <c r="V9" s="1"/>
      <c r="W9" s="1"/>
      <c r="X9" s="1"/>
      <c r="Y9" s="1"/>
      <c r="Z9" s="1"/>
    </row>
    <row r="10" ht="14.25" customHeight="1">
      <c r="A10" s="1"/>
      <c r="B10" s="13"/>
      <c r="C10" s="15" t="s">
        <v>16</v>
      </c>
      <c r="D10" s="13"/>
      <c r="E10" s="13" t="str">
        <f>VLOOKUP(C10,Datos!$B$8:$E$21,3,)</f>
        <v>Meses</v>
      </c>
      <c r="F10" s="16">
        <f>VLOOKUP(C10,Datos!$B$8:$E$21,4,)</f>
        <v>600000</v>
      </c>
      <c r="G10" s="16">
        <f>SUMIFS('Presupuesto Detallado Bajo'!$I$7:$I$39,'Presupuesto Detallado Bajo'!$D$7:$D$39,$C10)</f>
        <v>3600000</v>
      </c>
      <c r="H10" s="1"/>
      <c r="I10" s="1"/>
      <c r="J10" s="1"/>
      <c r="K10" s="1"/>
      <c r="L10" s="1"/>
      <c r="M10" s="1"/>
      <c r="N10" s="1"/>
      <c r="O10" s="1"/>
      <c r="P10" s="1"/>
      <c r="Q10" s="1"/>
      <c r="R10" s="1"/>
      <c r="S10" s="1"/>
      <c r="T10" s="1"/>
      <c r="U10" s="1"/>
      <c r="V10" s="1"/>
      <c r="W10" s="1"/>
      <c r="X10" s="1"/>
      <c r="Y10" s="1"/>
      <c r="Z10" s="1"/>
    </row>
    <row r="11" ht="14.25" customHeight="1">
      <c r="A11" s="1"/>
      <c r="B11" s="13"/>
      <c r="C11" s="15" t="s">
        <v>17</v>
      </c>
      <c r="D11" s="13"/>
      <c r="E11" s="13" t="str">
        <f>VLOOKUP(C11,Datos!$B$8:$E$21,3,)</f>
        <v>Meses</v>
      </c>
      <c r="F11" s="16">
        <f>VLOOKUP(C11,Datos!$B$8:$E$21,4,)</f>
        <v>600000</v>
      </c>
      <c r="G11" s="16">
        <f>SUMIFS('Presupuesto Detallado Bajo'!$I$7:$I$39,'Presupuesto Detallado Bajo'!$D$7:$D$39,$C11)</f>
        <v>3600000</v>
      </c>
      <c r="H11" s="1"/>
      <c r="I11" s="1"/>
      <c r="J11" s="1"/>
      <c r="K11" s="1"/>
      <c r="L11" s="1"/>
      <c r="M11" s="1"/>
      <c r="N11" s="1"/>
      <c r="O11" s="1"/>
      <c r="P11" s="1"/>
      <c r="Q11" s="1"/>
      <c r="R11" s="1"/>
      <c r="S11" s="1"/>
      <c r="T11" s="1"/>
      <c r="U11" s="1"/>
      <c r="V11" s="1"/>
      <c r="W11" s="1"/>
      <c r="X11" s="1"/>
      <c r="Y11" s="1"/>
      <c r="Z11" s="1"/>
    </row>
    <row r="12" ht="14.25" customHeight="1">
      <c r="A12" s="1"/>
      <c r="B12" s="13"/>
      <c r="C12" s="15" t="s">
        <v>18</v>
      </c>
      <c r="D12" s="13"/>
      <c r="E12" s="13" t="str">
        <f>VLOOKUP(C12,Datos!$B$8:$E$21,3,)</f>
        <v>Meses</v>
      </c>
      <c r="F12" s="16">
        <f>VLOOKUP(C12,Datos!$B$8:$E$21,4,)</f>
        <v>500000</v>
      </c>
      <c r="G12" s="16">
        <f>SUMIFS('Presupuesto Detallado Bajo'!$I$7:$I$39,'Presupuesto Detallado Bajo'!$D$7:$D$39,$C12)</f>
        <v>3000000</v>
      </c>
      <c r="H12" s="1"/>
      <c r="I12" s="1"/>
      <c r="J12" s="1"/>
      <c r="K12" s="1"/>
      <c r="L12" s="1"/>
      <c r="M12" s="1"/>
      <c r="N12" s="1"/>
      <c r="O12" s="1"/>
      <c r="P12" s="1"/>
      <c r="Q12" s="1"/>
      <c r="R12" s="1"/>
      <c r="S12" s="1"/>
      <c r="T12" s="1"/>
      <c r="U12" s="1"/>
      <c r="V12" s="1"/>
      <c r="W12" s="1"/>
      <c r="X12" s="1"/>
      <c r="Y12" s="1"/>
      <c r="Z12" s="1"/>
    </row>
    <row r="13" ht="14.25" customHeight="1">
      <c r="A13" s="1"/>
      <c r="B13" s="13"/>
      <c r="C13" s="15" t="s">
        <v>19</v>
      </c>
      <c r="D13" s="13"/>
      <c r="E13" s="13" t="str">
        <f>VLOOKUP(C13,Datos!$B$8:$E$21,3,)</f>
        <v>Meses</v>
      </c>
      <c r="F13" s="16">
        <f>VLOOKUP(C13,Datos!$B$8:$E$21,4,)</f>
        <v>300000</v>
      </c>
      <c r="G13" s="16">
        <f>SUMIFS('Presupuesto Detallado Bajo'!$I$7:$I$39,'Presupuesto Detallado Bajo'!$D$7:$D$39,$C13)</f>
        <v>1800000</v>
      </c>
      <c r="H13" s="1"/>
      <c r="I13" s="1"/>
      <c r="J13" s="1"/>
      <c r="K13" s="1"/>
      <c r="L13" s="1"/>
      <c r="M13" s="1"/>
      <c r="N13" s="1"/>
      <c r="O13" s="1"/>
      <c r="P13" s="1"/>
      <c r="Q13" s="1"/>
      <c r="R13" s="1"/>
      <c r="S13" s="1"/>
      <c r="T13" s="1"/>
      <c r="U13" s="1"/>
      <c r="V13" s="1"/>
      <c r="W13" s="1"/>
      <c r="X13" s="1"/>
      <c r="Y13" s="1"/>
      <c r="Z13" s="1"/>
    </row>
    <row r="14" ht="14.25" customHeight="1">
      <c r="A14" s="1"/>
      <c r="B14" s="13" t="s">
        <v>20</v>
      </c>
      <c r="C14" s="13"/>
      <c r="D14" s="13"/>
      <c r="E14" s="13"/>
      <c r="F14" s="14"/>
      <c r="G14" s="14">
        <f>G15+G16+G17+G18+G19</f>
        <v>1300000</v>
      </c>
      <c r="H14" s="1"/>
      <c r="I14" s="1"/>
      <c r="J14" s="1"/>
      <c r="K14" s="1"/>
      <c r="L14" s="1"/>
      <c r="M14" s="1"/>
      <c r="N14" s="1"/>
      <c r="O14" s="1"/>
      <c r="P14" s="1"/>
      <c r="Q14" s="1"/>
      <c r="R14" s="1"/>
      <c r="S14" s="1"/>
      <c r="T14" s="1"/>
      <c r="U14" s="1"/>
      <c r="V14" s="1"/>
      <c r="W14" s="1"/>
      <c r="X14" s="1"/>
      <c r="Y14" s="1"/>
      <c r="Z14" s="1"/>
    </row>
    <row r="15" ht="14.25" customHeight="1">
      <c r="A15" s="1"/>
      <c r="B15" s="13"/>
      <c r="C15" s="17" t="s">
        <v>21</v>
      </c>
      <c r="D15" s="13"/>
      <c r="E15" s="13" t="str">
        <f>VLOOKUP(C15,Datos!$B$8:$E$21,3,)</f>
        <v>Cantidad</v>
      </c>
      <c r="F15" s="16">
        <f>VLOOKUP(C15,Datos!$B$8:$E$21,4,)</f>
        <v>500000</v>
      </c>
      <c r="G15" s="16">
        <f>SUMIFS('Presupuesto Detallado Bajo'!$I$7:$I$39,'Presupuesto Detallado Bajo'!$D$7:$D$39,$C15)</f>
        <v>500000</v>
      </c>
      <c r="H15" s="1"/>
      <c r="I15" s="1"/>
      <c r="J15" s="1"/>
      <c r="K15" s="1"/>
      <c r="L15" s="1"/>
      <c r="M15" s="1"/>
      <c r="N15" s="1"/>
      <c r="O15" s="1"/>
      <c r="P15" s="1"/>
      <c r="Q15" s="1"/>
      <c r="R15" s="1"/>
      <c r="S15" s="1"/>
      <c r="T15" s="1"/>
      <c r="U15" s="1"/>
      <c r="V15" s="1"/>
      <c r="W15" s="1"/>
      <c r="X15" s="1"/>
      <c r="Y15" s="1"/>
      <c r="Z15" s="1"/>
    </row>
    <row r="16" ht="14.25" customHeight="1">
      <c r="A16" s="1"/>
      <c r="B16" s="13"/>
      <c r="C16" s="17" t="s">
        <v>22</v>
      </c>
      <c r="D16" s="13"/>
      <c r="E16" s="13" t="str">
        <f>VLOOKUP(C16,Datos!$B$8:$E$21,3,)</f>
        <v>Cantidad</v>
      </c>
      <c r="F16" s="16">
        <f>VLOOKUP(C16,Datos!$B$8:$E$21,4,)</f>
        <v>250000</v>
      </c>
      <c r="G16" s="16">
        <f>SUMIFS('Presupuesto Detallado Bajo'!$I$7:$I$39,'Presupuesto Detallado Bajo'!$D$7:$D$39,$C16)</f>
        <v>250000</v>
      </c>
      <c r="H16" s="1"/>
      <c r="I16" s="1"/>
      <c r="J16" s="1"/>
      <c r="K16" s="1"/>
      <c r="L16" s="1"/>
      <c r="M16" s="1"/>
      <c r="N16" s="1"/>
      <c r="O16" s="1"/>
      <c r="P16" s="1"/>
      <c r="Q16" s="1"/>
      <c r="R16" s="1"/>
      <c r="S16" s="1"/>
      <c r="T16" s="1"/>
      <c r="U16" s="1"/>
      <c r="V16" s="1"/>
      <c r="W16" s="1"/>
      <c r="X16" s="1"/>
      <c r="Y16" s="1"/>
      <c r="Z16" s="1"/>
    </row>
    <row r="17" ht="14.25" customHeight="1">
      <c r="A17" s="1"/>
      <c r="B17" s="13"/>
      <c r="C17" s="17" t="s">
        <v>23</v>
      </c>
      <c r="D17" s="13"/>
      <c r="E17" s="13" t="str">
        <f>VLOOKUP(C17,Datos!$B$8:$E$21,3,)</f>
        <v>Cantidad</v>
      </c>
      <c r="F17" s="16">
        <f>VLOOKUP(C17,Datos!$B$8:$E$21,4,)</f>
        <v>150000</v>
      </c>
      <c r="G17" s="16">
        <f>SUMIFS('Presupuesto Detallado Bajo'!$I$7:$I$39,'Presupuesto Detallado Bajo'!$D$7:$D$39,$C17)</f>
        <v>150000</v>
      </c>
      <c r="H17" s="1"/>
      <c r="I17" s="1"/>
      <c r="J17" s="1"/>
      <c r="K17" s="1"/>
      <c r="L17" s="1"/>
      <c r="M17" s="1"/>
      <c r="N17" s="1"/>
      <c r="O17" s="1"/>
      <c r="P17" s="1"/>
      <c r="Q17" s="1"/>
      <c r="R17" s="1"/>
      <c r="S17" s="1"/>
      <c r="T17" s="1"/>
      <c r="U17" s="1"/>
      <c r="V17" s="1"/>
      <c r="W17" s="1"/>
      <c r="X17" s="1"/>
      <c r="Y17" s="1"/>
      <c r="Z17" s="1"/>
    </row>
    <row r="18" ht="14.25" customHeight="1">
      <c r="A18" s="1"/>
      <c r="B18" s="13"/>
      <c r="C18" s="17" t="s">
        <v>24</v>
      </c>
      <c r="D18" s="13"/>
      <c r="E18" s="13" t="str">
        <f>VLOOKUP(C18,Datos!$B$8:$E$21,3,)</f>
        <v>Cantidad</v>
      </c>
      <c r="F18" s="16">
        <f>VLOOKUP(C18,Datos!$B$8:$E$21,4,)</f>
        <v>250000</v>
      </c>
      <c r="G18" s="16">
        <f>SUMIFS('Presupuesto Detallado Bajo'!$I$7:$I$39,'Presupuesto Detallado Bajo'!$D$7:$D$39,$C18)</f>
        <v>250000</v>
      </c>
      <c r="H18" s="1"/>
      <c r="I18" s="1"/>
      <c r="J18" s="1"/>
      <c r="K18" s="1"/>
      <c r="L18" s="1"/>
      <c r="M18" s="1"/>
      <c r="N18" s="1"/>
      <c r="O18" s="1"/>
      <c r="P18" s="1"/>
      <c r="Q18" s="1"/>
      <c r="R18" s="1"/>
      <c r="S18" s="1"/>
      <c r="T18" s="1"/>
      <c r="U18" s="1"/>
      <c r="V18" s="1"/>
      <c r="W18" s="1"/>
      <c r="X18" s="1"/>
      <c r="Y18" s="1"/>
      <c r="Z18" s="1"/>
    </row>
    <row r="19" ht="14.25" customHeight="1">
      <c r="A19" s="1"/>
      <c r="B19" s="13"/>
      <c r="C19" s="17" t="s">
        <v>25</v>
      </c>
      <c r="D19" s="13"/>
      <c r="E19" s="13" t="str">
        <f>VLOOKUP(C19,Datos!$B$8:$E$21,3,)</f>
        <v>Cantidad</v>
      </c>
      <c r="F19" s="16">
        <f>VLOOKUP(C19,Datos!$B$8:$E$21,4,)</f>
        <v>150000</v>
      </c>
      <c r="G19" s="16">
        <f>SUMIFS('Presupuesto Detallado Bajo'!$I$7:$I$39,'Presupuesto Detallado Bajo'!$D$7:$D$39,$C19)</f>
        <v>150000</v>
      </c>
      <c r="H19" s="1"/>
      <c r="I19" s="1"/>
      <c r="J19" s="1"/>
      <c r="K19" s="1"/>
      <c r="L19" s="1"/>
      <c r="M19" s="1"/>
      <c r="N19" s="1"/>
      <c r="O19" s="1"/>
      <c r="P19" s="1"/>
      <c r="Q19" s="1"/>
      <c r="R19" s="1"/>
      <c r="S19" s="1"/>
      <c r="T19" s="1"/>
      <c r="U19" s="1"/>
      <c r="V19" s="1"/>
      <c r="W19" s="1"/>
      <c r="X19" s="1"/>
      <c r="Y19" s="1"/>
      <c r="Z19" s="1"/>
    </row>
    <row r="20" ht="14.25" customHeight="1">
      <c r="A20" s="1"/>
      <c r="B20" s="13" t="s">
        <v>26</v>
      </c>
      <c r="C20" s="13"/>
      <c r="D20" s="13"/>
      <c r="E20" s="13"/>
      <c r="F20" s="14"/>
      <c r="G20" s="14">
        <f>G21</f>
        <v>150000</v>
      </c>
      <c r="H20" s="1"/>
      <c r="I20" s="1"/>
      <c r="J20" s="1"/>
      <c r="K20" s="1"/>
      <c r="L20" s="1"/>
      <c r="M20" s="1"/>
      <c r="N20" s="1"/>
      <c r="O20" s="1"/>
      <c r="P20" s="1"/>
      <c r="Q20" s="1"/>
      <c r="R20" s="1"/>
      <c r="S20" s="1"/>
      <c r="T20" s="1"/>
      <c r="U20" s="1"/>
      <c r="V20" s="1"/>
      <c r="W20" s="1"/>
      <c r="X20" s="1"/>
      <c r="Y20" s="1"/>
      <c r="Z20" s="1"/>
    </row>
    <row r="21" ht="14.25" customHeight="1">
      <c r="A21" s="1"/>
      <c r="B21" s="13"/>
      <c r="C21" s="17" t="s">
        <v>27</v>
      </c>
      <c r="D21" s="13"/>
      <c r="E21" s="13" t="str">
        <f>VLOOKUP(C21,Datos!$B$8:$E$21,3,)</f>
        <v>Cantidad</v>
      </c>
      <c r="F21" s="16">
        <f>VLOOKUP(C21,Datos!$B$8:$E$21,4,)</f>
        <v>150000</v>
      </c>
      <c r="G21" s="16">
        <f>SUMIFS('Presupuesto Detallado Bajo'!$I$7:$I$39,'Presupuesto Detallado Bajo'!$D$7:$D$39,$C21)</f>
        <v>150000</v>
      </c>
      <c r="H21" s="1"/>
      <c r="I21" s="1"/>
      <c r="J21" s="1"/>
      <c r="K21" s="1"/>
      <c r="L21" s="1"/>
      <c r="M21" s="1"/>
      <c r="N21" s="1"/>
      <c r="O21" s="1"/>
      <c r="P21" s="1"/>
      <c r="Q21" s="1"/>
      <c r="R21" s="1"/>
      <c r="S21" s="1"/>
      <c r="T21" s="1"/>
      <c r="U21" s="1"/>
      <c r="V21" s="1"/>
      <c r="W21" s="1"/>
      <c r="X21" s="1"/>
      <c r="Y21" s="1"/>
      <c r="Z21" s="1"/>
    </row>
    <row r="22" ht="14.25" customHeight="1">
      <c r="A22" s="1"/>
      <c r="B22" s="18" t="s">
        <v>28</v>
      </c>
      <c r="C22" s="13"/>
      <c r="D22" s="13"/>
      <c r="E22" s="13"/>
      <c r="F22" s="14"/>
      <c r="G22" s="14">
        <f>G23+G24+G25</f>
        <v>400000</v>
      </c>
      <c r="H22" s="1"/>
      <c r="I22" s="1"/>
      <c r="J22" s="1"/>
      <c r="K22" s="1"/>
      <c r="L22" s="1"/>
      <c r="M22" s="1"/>
      <c r="N22" s="1"/>
      <c r="O22" s="1"/>
      <c r="P22" s="1"/>
      <c r="Q22" s="1"/>
      <c r="R22" s="1"/>
      <c r="S22" s="1"/>
      <c r="T22" s="1"/>
      <c r="U22" s="1"/>
      <c r="V22" s="1"/>
      <c r="W22" s="1"/>
      <c r="X22" s="1"/>
      <c r="Y22" s="1"/>
      <c r="Z22" s="1"/>
    </row>
    <row r="23" ht="14.25" customHeight="1">
      <c r="A23" s="1"/>
      <c r="B23" s="1"/>
      <c r="C23" s="18" t="s">
        <v>29</v>
      </c>
      <c r="D23" s="13"/>
      <c r="E23" s="13" t="str">
        <f>VLOOKUP(C23,Datos!$B$8:$G$29,3,FALSE())</f>
        <v>Cantidad</v>
      </c>
      <c r="F23" s="16">
        <f>VLOOKUP(C23,Datos!$B$8:$G$29,4,FALSE())</f>
        <v>100000</v>
      </c>
      <c r="G23" s="16">
        <f>SUMIFS('Presupuesto Detallado Bajo'!$I$7:$I$39,'Presupuesto Detallado Bajo'!$D$7:$D$39,$C23)</f>
        <v>100000</v>
      </c>
      <c r="H23" s="1"/>
      <c r="I23" s="1"/>
      <c r="J23" s="1"/>
      <c r="K23" s="1"/>
      <c r="L23" s="1"/>
      <c r="M23" s="1"/>
      <c r="N23" s="1"/>
      <c r="O23" s="1"/>
      <c r="P23" s="1"/>
      <c r="Q23" s="1"/>
      <c r="R23" s="1"/>
      <c r="S23" s="1"/>
      <c r="T23" s="1"/>
      <c r="U23" s="1"/>
      <c r="V23" s="1"/>
      <c r="W23" s="1"/>
      <c r="X23" s="1"/>
      <c r="Y23" s="1"/>
      <c r="Z23" s="1"/>
    </row>
    <row r="24" ht="14.25" customHeight="1">
      <c r="A24" s="1"/>
      <c r="B24" s="13"/>
      <c r="C24" s="17" t="s">
        <v>30</v>
      </c>
      <c r="D24" s="13"/>
      <c r="E24" s="13" t="str">
        <f>VLOOKUP(C24,Datos!$B$8:$G$29,3,FALSE())</f>
        <v>Cantidad</v>
      </c>
      <c r="F24" s="16">
        <f>VLOOKUP(C24,Datos!$B$8:$G$29,4,FALSE())</f>
        <v>200000</v>
      </c>
      <c r="G24" s="16">
        <f>SUMIFS('Presupuesto Detallado Bajo'!$I$7:$I$39,'Presupuesto Detallado Bajo'!$D$7:$D$39,$C24)</f>
        <v>200000</v>
      </c>
      <c r="H24" s="1"/>
      <c r="I24" s="1"/>
      <c r="J24" s="1"/>
      <c r="K24" s="1"/>
      <c r="L24" s="1"/>
      <c r="M24" s="1"/>
      <c r="N24" s="1"/>
      <c r="O24" s="1"/>
      <c r="P24" s="1"/>
      <c r="Q24" s="1"/>
      <c r="R24" s="1"/>
      <c r="S24" s="1"/>
      <c r="T24" s="1"/>
      <c r="U24" s="1"/>
      <c r="V24" s="1"/>
      <c r="W24" s="1"/>
      <c r="X24" s="1"/>
      <c r="Y24" s="1"/>
      <c r="Z24" s="1"/>
    </row>
    <row r="25" ht="14.25" customHeight="1">
      <c r="A25" s="1"/>
      <c r="B25" s="13"/>
      <c r="C25" s="17" t="s">
        <v>31</v>
      </c>
      <c r="D25" s="13"/>
      <c r="E25" s="13" t="str">
        <f>VLOOKUP(C25,Datos!$B$8:$G$29,3,FALSE())</f>
        <v>Cantidad</v>
      </c>
      <c r="F25" s="16">
        <f>VLOOKUP(C25,Datos!$B$8:$G$29,4,FALSE())</f>
        <v>100000</v>
      </c>
      <c r="G25" s="16">
        <f>SUMIFS('Presupuesto Detallado Bajo'!$I$7:$I$39,'Presupuesto Detallado Bajo'!$D$7:$D$39,$C25)</f>
        <v>100000</v>
      </c>
      <c r="H25" s="1"/>
      <c r="I25" s="1"/>
      <c r="J25" s="1"/>
      <c r="K25" s="1"/>
      <c r="L25" s="1"/>
      <c r="M25" s="1"/>
      <c r="N25" s="1"/>
      <c r="O25" s="1"/>
      <c r="P25" s="1"/>
      <c r="Q25" s="1"/>
      <c r="R25" s="1"/>
      <c r="S25" s="1"/>
      <c r="T25" s="1"/>
      <c r="U25" s="1"/>
      <c r="V25" s="1"/>
      <c r="W25" s="1"/>
      <c r="X25" s="1"/>
      <c r="Y25" s="1"/>
      <c r="Z25" s="1"/>
    </row>
    <row r="26" ht="14.25" customHeight="1">
      <c r="A26" s="1"/>
      <c r="B26" s="11" t="s">
        <v>32</v>
      </c>
      <c r="C26" s="11"/>
      <c r="D26" s="11"/>
      <c r="E26" s="11"/>
      <c r="F26" s="12"/>
      <c r="G26" s="12">
        <f>G27+G28</f>
        <v>780000</v>
      </c>
      <c r="H26" s="1"/>
      <c r="I26" s="1"/>
      <c r="J26" s="1"/>
      <c r="K26" s="1"/>
      <c r="L26" s="1"/>
      <c r="M26" s="1"/>
      <c r="N26" s="1"/>
      <c r="O26" s="1"/>
      <c r="P26" s="1"/>
      <c r="Q26" s="1"/>
      <c r="R26" s="1"/>
      <c r="S26" s="1"/>
      <c r="T26" s="1"/>
      <c r="U26" s="1"/>
      <c r="V26" s="1"/>
      <c r="W26" s="1"/>
      <c r="X26" s="1"/>
      <c r="Y26" s="1"/>
      <c r="Z26" s="1"/>
    </row>
    <row r="27" ht="14.25" customHeight="1">
      <c r="A27" s="1"/>
      <c r="B27" s="13"/>
      <c r="C27" s="18" t="s">
        <v>33</v>
      </c>
      <c r="D27" s="13"/>
      <c r="E27" s="13" t="str">
        <f>VLOOKUP(C27,Datos!$B$8:$G$29,3,FALSE())</f>
        <v>Meses</v>
      </c>
      <c r="F27" s="16">
        <f>VLOOKUP(C27,Datos!$B$8:$G$29,4,FALSE())</f>
        <v>100000</v>
      </c>
      <c r="G27" s="16">
        <f>SUMIFS('Presupuesto Detallado Bajo'!$I$7:$I$39,'Presupuesto Detallado Bajo'!$D$7:$D$39,$C27)</f>
        <v>600000</v>
      </c>
      <c r="H27" s="1"/>
      <c r="I27" s="1"/>
      <c r="J27" s="1"/>
      <c r="K27" s="1"/>
      <c r="L27" s="1"/>
      <c r="M27" s="1"/>
      <c r="N27" s="1"/>
      <c r="O27" s="1"/>
      <c r="P27" s="1"/>
      <c r="Q27" s="1"/>
      <c r="R27" s="1"/>
      <c r="S27" s="1"/>
      <c r="T27" s="1"/>
      <c r="U27" s="1"/>
      <c r="V27" s="1"/>
      <c r="W27" s="1"/>
      <c r="X27" s="1"/>
      <c r="Y27" s="1"/>
      <c r="Z27" s="1"/>
    </row>
    <row r="28" ht="14.25" customHeight="1">
      <c r="A28" s="1"/>
      <c r="B28" s="13"/>
      <c r="C28" s="17" t="s">
        <v>34</v>
      </c>
      <c r="D28" s="13"/>
      <c r="E28" s="13" t="str">
        <f>VLOOKUP(C28,Datos!$B$8:$G$29,3,FALSE())</f>
        <v>Meses</v>
      </c>
      <c r="F28" s="16">
        <f>VLOOKUP(C28,Datos!$B$8:$G$29,4,FALSE())</f>
        <v>30000</v>
      </c>
      <c r="G28" s="16">
        <f>SUMIFS('Presupuesto Detallado Bajo'!$I$7:$I$39,'Presupuesto Detallado Bajo'!$D$7:$D$39,$C28)</f>
        <v>180000</v>
      </c>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9" t="s">
        <v>35</v>
      </c>
      <c r="C31" s="11"/>
      <c r="D31" s="11"/>
      <c r="E31" s="11"/>
      <c r="F31" s="11"/>
      <c r="G31" s="20"/>
      <c r="H31" s="1"/>
      <c r="I31" s="1"/>
      <c r="J31" s="1"/>
      <c r="K31" s="1"/>
      <c r="L31" s="1"/>
      <c r="M31" s="1"/>
      <c r="N31" s="1"/>
      <c r="O31" s="1"/>
      <c r="P31" s="1"/>
      <c r="Q31" s="1"/>
      <c r="R31" s="1"/>
      <c r="S31" s="1"/>
      <c r="T31" s="1"/>
      <c r="U31" s="1"/>
      <c r="V31" s="1"/>
      <c r="W31" s="1"/>
      <c r="X31" s="1"/>
      <c r="Y31" s="1"/>
      <c r="Z31" s="1"/>
    </row>
    <row r="32" ht="14.25" customHeight="1">
      <c r="A32" s="1"/>
      <c r="B32" s="1"/>
      <c r="C32" s="21" t="s">
        <v>36</v>
      </c>
      <c r="D32" s="21" t="s">
        <v>37</v>
      </c>
      <c r="E32" s="21" t="s">
        <v>5</v>
      </c>
      <c r="F32" s="21" t="s">
        <v>38</v>
      </c>
      <c r="G32" s="1"/>
      <c r="H32" s="1"/>
      <c r="I32" s="1"/>
      <c r="J32" s="1"/>
      <c r="K32" s="1"/>
      <c r="L32" s="1"/>
      <c r="M32" s="1"/>
      <c r="N32" s="1"/>
      <c r="O32" s="1"/>
      <c r="P32" s="1"/>
      <c r="Q32" s="1"/>
      <c r="R32" s="1"/>
      <c r="S32" s="1"/>
      <c r="T32" s="1"/>
      <c r="U32" s="1"/>
      <c r="V32" s="1"/>
      <c r="W32" s="1"/>
      <c r="X32" s="1"/>
      <c r="Y32" s="1"/>
      <c r="Z32" s="1"/>
    </row>
    <row r="33" ht="14.25" customHeight="1">
      <c r="A33" s="1"/>
      <c r="B33" s="1"/>
      <c r="C33" s="22" t="s">
        <v>39</v>
      </c>
      <c r="D33" s="23">
        <f>(F9+F10+F11+F12+F13)*6</f>
        <v>15600000</v>
      </c>
      <c r="E33" s="23">
        <f>'Presupuesto Detallado Bajo'!I20+'Presupuesto Detallado Bajo'!I34</f>
        <v>15600000</v>
      </c>
      <c r="F33" s="23">
        <f t="shared" ref="F33:F37" si="1">E33-D33</f>
        <v>0</v>
      </c>
      <c r="G33" s="1"/>
      <c r="H33" s="1"/>
      <c r="I33" s="1"/>
      <c r="J33" s="1"/>
      <c r="K33" s="1"/>
      <c r="L33" s="1"/>
      <c r="M33" s="1"/>
      <c r="N33" s="1"/>
      <c r="O33" s="1"/>
      <c r="P33" s="1"/>
      <c r="Q33" s="1"/>
      <c r="R33" s="1"/>
      <c r="S33" s="1"/>
      <c r="T33" s="1"/>
      <c r="U33" s="1"/>
      <c r="V33" s="1"/>
      <c r="W33" s="1"/>
      <c r="X33" s="1"/>
      <c r="Y33" s="1"/>
      <c r="Z33" s="1"/>
    </row>
    <row r="34" ht="14.25" customHeight="1">
      <c r="A34" s="1"/>
      <c r="B34" s="1"/>
      <c r="C34" s="22" t="s">
        <v>40</v>
      </c>
      <c r="D34" s="23">
        <f>(F27+F28)*6</f>
        <v>780000</v>
      </c>
      <c r="E34" s="23">
        <f>'Presupuesto Detallado Bajo'!I36</f>
        <v>780000</v>
      </c>
      <c r="F34" s="23">
        <f t="shared" si="1"/>
        <v>0</v>
      </c>
      <c r="G34" s="1"/>
      <c r="H34" s="1"/>
      <c r="I34" s="1"/>
      <c r="J34" s="1"/>
      <c r="K34" s="1"/>
      <c r="L34" s="1"/>
      <c r="M34" s="1"/>
      <c r="N34" s="1"/>
      <c r="O34" s="1"/>
      <c r="P34" s="1"/>
      <c r="Q34" s="1"/>
      <c r="R34" s="1"/>
      <c r="S34" s="1"/>
      <c r="T34" s="1"/>
      <c r="U34" s="1"/>
      <c r="V34" s="1"/>
      <c r="W34" s="1"/>
      <c r="X34" s="1"/>
      <c r="Y34" s="1"/>
      <c r="Z34" s="1"/>
    </row>
    <row r="35" ht="14.25" customHeight="1">
      <c r="A35" s="1"/>
      <c r="B35" s="1"/>
      <c r="C35" s="22" t="s">
        <v>41</v>
      </c>
      <c r="D35" s="24">
        <v>1350000.0</v>
      </c>
      <c r="E35" s="23">
        <f>'Presupuesto Detallado Bajo'!I13+'Presupuesto Detallado Bajo'!I25</f>
        <v>1350000</v>
      </c>
      <c r="F35" s="23">
        <f t="shared" si="1"/>
        <v>0</v>
      </c>
      <c r="G35" s="1"/>
      <c r="H35" s="1"/>
      <c r="I35" s="1"/>
      <c r="J35" s="1"/>
      <c r="K35" s="1"/>
      <c r="L35" s="1"/>
      <c r="M35" s="1"/>
      <c r="N35" s="1"/>
      <c r="O35" s="1"/>
      <c r="P35" s="1"/>
      <c r="Q35" s="1"/>
      <c r="R35" s="1"/>
      <c r="S35" s="1"/>
      <c r="T35" s="1"/>
      <c r="U35" s="1"/>
      <c r="V35" s="1"/>
      <c r="W35" s="1"/>
      <c r="X35" s="1"/>
      <c r="Y35" s="1"/>
      <c r="Z35" s="1"/>
    </row>
    <row r="36" ht="14.25" customHeight="1">
      <c r="A36" s="1"/>
      <c r="B36" s="1"/>
      <c r="C36" s="22" t="s">
        <v>42</v>
      </c>
      <c r="D36" s="24">
        <v>500000.0</v>
      </c>
      <c r="E36" s="23">
        <f>'Presupuesto Detallado Bajo'!I8</f>
        <v>500000</v>
      </c>
      <c r="F36" s="23">
        <f t="shared" si="1"/>
        <v>0</v>
      </c>
      <c r="G36" s="1"/>
      <c r="H36" s="1"/>
      <c r="I36" s="1"/>
      <c r="J36" s="1"/>
      <c r="K36" s="1"/>
      <c r="L36" s="1"/>
      <c r="M36" s="1"/>
      <c r="N36" s="1"/>
      <c r="O36" s="1"/>
      <c r="P36" s="1"/>
      <c r="Q36" s="1"/>
      <c r="R36" s="1"/>
      <c r="S36" s="1"/>
      <c r="T36" s="1"/>
      <c r="U36" s="1"/>
      <c r="V36" s="1"/>
      <c r="W36" s="1"/>
      <c r="X36" s="1"/>
      <c r="Y36" s="1"/>
      <c r="Z36" s="1"/>
    </row>
    <row r="37" ht="14.25" customHeight="1">
      <c r="A37" s="1"/>
      <c r="B37" s="1"/>
      <c r="C37" s="22" t="s">
        <v>43</v>
      </c>
      <c r="D37" s="24">
        <v>1270000.0</v>
      </c>
      <c r="E37" s="23">
        <f>'Presupuesto Detallado Bajo'!H4</f>
        <v>1270000</v>
      </c>
      <c r="F37" s="23">
        <f t="shared" si="1"/>
        <v>0</v>
      </c>
      <c r="G37" s="1"/>
      <c r="H37" s="1"/>
      <c r="I37" s="1"/>
      <c r="J37" s="1"/>
      <c r="K37" s="1"/>
      <c r="L37" s="1"/>
      <c r="M37" s="1"/>
      <c r="N37" s="1"/>
      <c r="O37" s="1"/>
      <c r="P37" s="1"/>
      <c r="Q37" s="1"/>
      <c r="R37" s="1"/>
      <c r="S37" s="1"/>
      <c r="T37" s="1"/>
      <c r="U37" s="1"/>
      <c r="V37" s="1"/>
      <c r="W37" s="1"/>
      <c r="X37" s="1"/>
      <c r="Y37" s="1"/>
      <c r="Z37" s="1"/>
    </row>
    <row r="38" ht="14.25" customHeight="1">
      <c r="A38" s="1"/>
      <c r="B38" s="19"/>
      <c r="C38" s="19" t="s">
        <v>44</v>
      </c>
      <c r="D38" s="12">
        <f>D33+D34+D35+D36+D37</f>
        <v>19500000</v>
      </c>
      <c r="E38" s="11"/>
      <c r="F38" s="11"/>
      <c r="G38" s="20"/>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printOptions/>
  <pageMargins bottom="0.7480314960629921" footer="0.0" header="0.0" left="0.7086614173228347" right="0.7086614173228347" top="0.7480314960629921"/>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7.86"/>
    <col customWidth="1" min="3" max="3" width="16.43"/>
    <col customWidth="1" min="4" max="4" width="27.0"/>
    <col customWidth="1" min="5" max="5" width="16.29"/>
    <col customWidth="1" min="6" max="6" width="18.0"/>
    <col customWidth="1" min="7" max="7" width="14.57"/>
    <col customWidth="1" min="8" max="8" width="9.43"/>
    <col customWidth="1" min="9" max="9" width="13.14"/>
    <col customWidth="1" min="10" max="26" width="11.43"/>
  </cols>
  <sheetData>
    <row r="1" ht="14.25" customHeight="1">
      <c r="A1" s="1"/>
      <c r="B1" s="2" t="s">
        <v>0</v>
      </c>
      <c r="C1" s="1"/>
      <c r="D1" s="1"/>
      <c r="E1" s="1"/>
      <c r="F1" s="1"/>
      <c r="G1" s="3" t="s">
        <v>1</v>
      </c>
      <c r="H1" s="1"/>
      <c r="I1" s="1"/>
      <c r="J1" s="1"/>
      <c r="K1" s="1"/>
      <c r="L1" s="1"/>
      <c r="M1" s="1"/>
      <c r="N1" s="1"/>
      <c r="O1" s="1"/>
      <c r="P1" s="1"/>
      <c r="Q1" s="1"/>
      <c r="R1" s="1"/>
      <c r="S1" s="1"/>
      <c r="T1" s="1"/>
      <c r="U1" s="1"/>
      <c r="V1" s="1"/>
      <c r="W1" s="1"/>
      <c r="X1" s="1"/>
      <c r="Y1" s="1"/>
      <c r="Z1" s="1"/>
    </row>
    <row r="2" ht="14.25" customHeight="1">
      <c r="A2" s="1"/>
      <c r="B2" s="4" t="s">
        <v>2</v>
      </c>
      <c r="C2" s="1"/>
      <c r="D2" s="1"/>
      <c r="E2" s="1"/>
      <c r="F2" s="1"/>
      <c r="G2" s="1" t="s">
        <v>3</v>
      </c>
      <c r="H2" s="1"/>
      <c r="I2" s="25">
        <f>IF(G4=0,0,'Por Recursos Bajo'!D37/G4)</f>
        <v>0.06966538673</v>
      </c>
      <c r="J2" s="1"/>
      <c r="K2" s="1"/>
      <c r="L2" s="1"/>
      <c r="M2" s="1"/>
      <c r="N2" s="1"/>
      <c r="O2" s="1"/>
      <c r="P2" s="1"/>
      <c r="Q2" s="1"/>
      <c r="R2" s="1"/>
      <c r="S2" s="1"/>
      <c r="T2" s="1"/>
      <c r="U2" s="1"/>
      <c r="V2" s="1"/>
      <c r="W2" s="1"/>
      <c r="X2" s="1"/>
      <c r="Y2" s="1"/>
      <c r="Z2" s="1"/>
    </row>
    <row r="3" ht="15.75" customHeight="1">
      <c r="A3" s="1"/>
      <c r="B3" s="6" t="s">
        <v>4</v>
      </c>
      <c r="C3" s="1"/>
      <c r="D3" s="1"/>
      <c r="E3" s="7"/>
      <c r="F3" s="7"/>
      <c r="G3" s="8" t="s">
        <v>5</v>
      </c>
      <c r="H3" s="8" t="s">
        <v>6</v>
      </c>
      <c r="I3" s="8" t="s">
        <v>7</v>
      </c>
      <c r="J3" s="1"/>
      <c r="K3" s="1"/>
      <c r="L3" s="1"/>
      <c r="M3" s="1"/>
      <c r="N3" s="1"/>
      <c r="O3" s="1"/>
      <c r="P3" s="1"/>
      <c r="Q3" s="1"/>
      <c r="R3" s="1"/>
      <c r="S3" s="1"/>
      <c r="T3" s="1"/>
      <c r="U3" s="1"/>
      <c r="V3" s="1"/>
      <c r="W3" s="1"/>
      <c r="X3" s="1"/>
      <c r="Y3" s="1"/>
      <c r="Z3" s="1"/>
    </row>
    <row r="4" ht="15.0" customHeight="1">
      <c r="A4" s="1"/>
      <c r="B4" s="6" t="s">
        <v>8</v>
      </c>
      <c r="C4" s="1"/>
      <c r="D4" s="1"/>
      <c r="E4" s="9" t="s">
        <v>7</v>
      </c>
      <c r="F4" s="9"/>
      <c r="G4" s="10">
        <f>I7+I18+I32</f>
        <v>18230000</v>
      </c>
      <c r="H4" s="10">
        <f>G4*I2</f>
        <v>1270000</v>
      </c>
      <c r="I4" s="10">
        <f>SUM(G4:H4)</f>
        <v>19500000</v>
      </c>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26" t="s">
        <v>45</v>
      </c>
      <c r="C6" s="8" t="s">
        <v>46</v>
      </c>
      <c r="D6" s="8" t="s">
        <v>47</v>
      </c>
      <c r="E6" s="8" t="s">
        <v>48</v>
      </c>
      <c r="F6" s="8" t="s">
        <v>11</v>
      </c>
      <c r="G6" s="8" t="s">
        <v>49</v>
      </c>
      <c r="H6" s="8" t="s">
        <v>12</v>
      </c>
      <c r="I6" s="8" t="s">
        <v>5</v>
      </c>
      <c r="J6" s="1"/>
      <c r="K6" s="1"/>
      <c r="L6" s="1"/>
      <c r="M6" s="1"/>
      <c r="N6" s="1"/>
      <c r="O6" s="1"/>
      <c r="P6" s="1"/>
      <c r="Q6" s="1"/>
      <c r="R6" s="1"/>
      <c r="S6" s="1"/>
      <c r="T6" s="1"/>
      <c r="U6" s="1"/>
      <c r="V6" s="1"/>
      <c r="W6" s="1"/>
      <c r="X6" s="1"/>
      <c r="Y6" s="1"/>
      <c r="Z6" s="1"/>
    </row>
    <row r="7" ht="15.0" customHeight="1">
      <c r="A7" s="1"/>
      <c r="B7" s="11">
        <v>1.0</v>
      </c>
      <c r="C7" s="19" t="s">
        <v>50</v>
      </c>
      <c r="D7" s="27"/>
      <c r="E7" s="27"/>
      <c r="F7" s="27"/>
      <c r="G7" s="28"/>
      <c r="H7" s="29"/>
      <c r="I7" s="29">
        <f>I8+I13</f>
        <v>1300000</v>
      </c>
      <c r="J7" s="1"/>
      <c r="K7" s="1"/>
      <c r="L7" s="1"/>
      <c r="M7" s="1"/>
      <c r="N7" s="1"/>
      <c r="O7" s="1"/>
      <c r="P7" s="1"/>
      <c r="Q7" s="1"/>
      <c r="R7" s="1"/>
      <c r="S7" s="1"/>
      <c r="T7" s="1"/>
      <c r="U7" s="1"/>
      <c r="V7" s="1"/>
      <c r="W7" s="1"/>
      <c r="X7" s="1"/>
      <c r="Y7" s="1"/>
      <c r="Z7" s="1"/>
    </row>
    <row r="8" ht="14.25" customHeight="1">
      <c r="A8" s="1"/>
      <c r="B8" s="13" t="s">
        <v>51</v>
      </c>
      <c r="C8" s="17" t="s">
        <v>52</v>
      </c>
      <c r="D8" s="13"/>
      <c r="E8" s="13"/>
      <c r="F8" s="13"/>
      <c r="G8" s="30"/>
      <c r="H8" s="14"/>
      <c r="I8" s="14">
        <f>I9</f>
        <v>500000</v>
      </c>
      <c r="J8" s="1"/>
      <c r="K8" s="1"/>
      <c r="L8" s="1"/>
      <c r="M8" s="1"/>
      <c r="N8" s="1"/>
      <c r="O8" s="1"/>
      <c r="P8" s="1"/>
      <c r="Q8" s="1"/>
      <c r="R8" s="1"/>
      <c r="S8" s="1"/>
      <c r="T8" s="1"/>
      <c r="U8" s="1"/>
      <c r="V8" s="1"/>
      <c r="W8" s="1"/>
      <c r="X8" s="1"/>
      <c r="Y8" s="1"/>
      <c r="Z8" s="1"/>
    </row>
    <row r="9" ht="14.25" customHeight="1">
      <c r="A9" s="1"/>
      <c r="B9" s="13" t="s">
        <v>53</v>
      </c>
      <c r="C9" s="17" t="s">
        <v>54</v>
      </c>
      <c r="D9" s="13"/>
      <c r="E9" s="13"/>
      <c r="F9" s="13"/>
      <c r="G9" s="30"/>
      <c r="H9" s="14"/>
      <c r="I9" s="14">
        <f>SUM(I10:I12)</f>
        <v>500000</v>
      </c>
      <c r="J9" s="1"/>
      <c r="K9" s="1"/>
      <c r="L9" s="1"/>
      <c r="M9" s="1"/>
      <c r="N9" s="1"/>
      <c r="O9" s="1"/>
      <c r="P9" s="1"/>
      <c r="Q9" s="1"/>
      <c r="R9" s="1"/>
      <c r="S9" s="1"/>
      <c r="T9" s="1"/>
      <c r="U9" s="1"/>
      <c r="V9" s="1"/>
      <c r="W9" s="1"/>
      <c r="X9" s="1"/>
      <c r="Y9" s="1"/>
      <c r="Z9" s="1"/>
    </row>
    <row r="10" ht="14.25" customHeight="1">
      <c r="A10" s="1"/>
      <c r="B10" s="13"/>
      <c r="C10" s="13"/>
      <c r="D10" s="18" t="s">
        <v>22</v>
      </c>
      <c r="E10" s="31" t="str">
        <f>VLOOKUP(D10,Datos!$B$8:$E$21,2,)</f>
        <v>Materiales</v>
      </c>
      <c r="F10" s="31" t="str">
        <f>VLOOKUP(D10,Datos!$B$8:$E$21,3,)</f>
        <v>Cantidad</v>
      </c>
      <c r="G10" s="32">
        <v>1.0</v>
      </c>
      <c r="H10" s="14">
        <f>VLOOKUP(D10,Datos!$B$8:$E$21,4,)</f>
        <v>250000</v>
      </c>
      <c r="I10" s="14">
        <f t="shared" ref="I10:I12" si="1">G10*H10</f>
        <v>250000</v>
      </c>
      <c r="J10" s="1"/>
      <c r="K10" s="1"/>
      <c r="L10" s="1"/>
      <c r="M10" s="1"/>
      <c r="N10" s="1"/>
      <c r="O10" s="1"/>
      <c r="P10" s="1"/>
      <c r="Q10" s="1"/>
      <c r="R10" s="1"/>
      <c r="S10" s="1"/>
      <c r="T10" s="1"/>
      <c r="U10" s="1"/>
      <c r="V10" s="1"/>
      <c r="W10" s="1"/>
      <c r="X10" s="1"/>
      <c r="Y10" s="1"/>
      <c r="Z10" s="1"/>
    </row>
    <row r="11" ht="14.25" customHeight="1">
      <c r="A11" s="1"/>
      <c r="B11" s="13"/>
      <c r="C11" s="33"/>
      <c r="D11" s="34" t="s">
        <v>23</v>
      </c>
      <c r="E11" s="35" t="str">
        <f>VLOOKUP(D11,Datos!$B$8:$E$21,2,)</f>
        <v>Materiales</v>
      </c>
      <c r="F11" s="31" t="str">
        <f>VLOOKUP(D11,Datos!$B$8:$E$21,3,)</f>
        <v>Cantidad</v>
      </c>
      <c r="G11" s="32">
        <v>1.0</v>
      </c>
      <c r="H11" s="14">
        <f>VLOOKUP(D11,Datos!$B$8:$E$21,4)</f>
        <v>150000</v>
      </c>
      <c r="I11" s="14">
        <f t="shared" si="1"/>
        <v>150000</v>
      </c>
      <c r="J11" s="1"/>
      <c r="K11" s="1"/>
      <c r="L11" s="1"/>
      <c r="M11" s="1"/>
      <c r="N11" s="1"/>
      <c r="O11" s="1"/>
      <c r="P11" s="1"/>
      <c r="Q11" s="1"/>
      <c r="R11" s="1"/>
      <c r="S11" s="1"/>
      <c r="T11" s="1"/>
      <c r="U11" s="1"/>
      <c r="V11" s="1"/>
      <c r="W11" s="1"/>
      <c r="X11" s="1"/>
      <c r="Y11" s="1"/>
      <c r="Z11" s="1"/>
    </row>
    <row r="12" ht="14.25" customHeight="1">
      <c r="A12" s="1"/>
      <c r="B12" s="13"/>
      <c r="C12" s="13"/>
      <c r="D12" s="18" t="s">
        <v>29</v>
      </c>
      <c r="E12" s="31" t="str">
        <f>VLOOKUP(D12,Datos!$B$8:$G$29,2,FALSE())</f>
        <v>Servicios Técnicos</v>
      </c>
      <c r="F12" s="31" t="str">
        <f>VLOOKUP(D12,Datos!$B$8:$G$29,3,FALSE())</f>
        <v>Cantidad</v>
      </c>
      <c r="G12" s="32">
        <v>1.0</v>
      </c>
      <c r="H12" s="14">
        <f>VLOOKUP(D12,Datos!$B$8:$G$29,4,FALSE())</f>
        <v>100000</v>
      </c>
      <c r="I12" s="14">
        <f t="shared" si="1"/>
        <v>100000</v>
      </c>
      <c r="J12" s="1"/>
      <c r="K12" s="1"/>
      <c r="L12" s="1"/>
      <c r="M12" s="1"/>
      <c r="N12" s="1"/>
      <c r="O12" s="1"/>
      <c r="P12" s="1"/>
      <c r="Q12" s="1"/>
      <c r="R12" s="1"/>
      <c r="S12" s="1"/>
      <c r="T12" s="1"/>
      <c r="U12" s="1"/>
      <c r="V12" s="1"/>
      <c r="W12" s="1"/>
      <c r="X12" s="1"/>
      <c r="Y12" s="1"/>
      <c r="Z12" s="1"/>
    </row>
    <row r="13" ht="14.25" customHeight="1">
      <c r="A13" s="1"/>
      <c r="B13" s="36">
        <v>46054.0</v>
      </c>
      <c r="C13" s="17" t="s">
        <v>55</v>
      </c>
      <c r="D13" s="13"/>
      <c r="E13" s="13"/>
      <c r="F13" s="13"/>
      <c r="G13" s="30"/>
      <c r="H13" s="14"/>
      <c r="I13" s="14">
        <f>I14</f>
        <v>800000</v>
      </c>
      <c r="J13" s="1"/>
      <c r="K13" s="1"/>
      <c r="L13" s="1"/>
      <c r="M13" s="1"/>
      <c r="N13" s="1"/>
      <c r="O13" s="1"/>
      <c r="P13" s="1"/>
      <c r="Q13" s="1"/>
      <c r="R13" s="1"/>
      <c r="S13" s="1"/>
      <c r="T13" s="1"/>
      <c r="U13" s="1"/>
      <c r="V13" s="1"/>
      <c r="W13" s="1"/>
      <c r="X13" s="1"/>
      <c r="Y13" s="1"/>
      <c r="Z13" s="1"/>
    </row>
    <row r="14" ht="14.25" customHeight="1">
      <c r="A14" s="1"/>
      <c r="B14" s="37" t="s">
        <v>56</v>
      </c>
      <c r="C14" s="17" t="s">
        <v>57</v>
      </c>
      <c r="E14" s="31"/>
      <c r="F14" s="31"/>
      <c r="G14" s="30"/>
      <c r="H14" s="14"/>
      <c r="I14" s="14">
        <f>I15+I16+I17</f>
        <v>800000</v>
      </c>
      <c r="J14" s="1"/>
      <c r="K14" s="1"/>
      <c r="L14" s="1"/>
      <c r="M14" s="1"/>
      <c r="N14" s="1"/>
      <c r="O14" s="1"/>
      <c r="P14" s="1"/>
      <c r="Q14" s="1"/>
      <c r="R14" s="1"/>
      <c r="S14" s="1"/>
      <c r="T14" s="1"/>
      <c r="U14" s="1"/>
      <c r="V14" s="1"/>
      <c r="W14" s="1"/>
      <c r="X14" s="1"/>
      <c r="Y14" s="1"/>
      <c r="Z14" s="1"/>
    </row>
    <row r="15" ht="14.25" customHeight="1">
      <c r="A15" s="1"/>
      <c r="B15" s="1"/>
      <c r="C15" s="13"/>
      <c r="D15" s="34" t="s">
        <v>21</v>
      </c>
      <c r="E15" s="31" t="str">
        <f>VLOOKUP(D15,Datos!$B$8:$E$21,2,)</f>
        <v>Materiales</v>
      </c>
      <c r="F15" s="31" t="str">
        <f>VLOOKUP(D15,Datos!$B$8:$E$21,3,)</f>
        <v>Cantidad</v>
      </c>
      <c r="G15" s="32">
        <v>1.0</v>
      </c>
      <c r="H15" s="14">
        <f>VLOOKUP(D15,Datos!$B$8:$G$29,4,FALSE())</f>
        <v>500000</v>
      </c>
      <c r="I15" s="14">
        <f t="shared" ref="I15:I17" si="2">G15*H15</f>
        <v>500000</v>
      </c>
      <c r="J15" s="1"/>
      <c r="K15" s="1"/>
      <c r="L15" s="1"/>
      <c r="M15" s="1"/>
      <c r="N15" s="1"/>
      <c r="O15" s="1"/>
      <c r="P15" s="1"/>
      <c r="Q15" s="1"/>
      <c r="R15" s="1"/>
      <c r="S15" s="1"/>
      <c r="T15" s="1"/>
      <c r="U15" s="1"/>
      <c r="V15" s="1"/>
      <c r="W15" s="1"/>
      <c r="X15" s="1"/>
      <c r="Y15" s="1"/>
      <c r="Z15" s="1"/>
    </row>
    <row r="16" ht="14.25" customHeight="1">
      <c r="A16" s="1"/>
      <c r="B16" s="1"/>
      <c r="C16" s="13"/>
      <c r="D16" s="18" t="s">
        <v>27</v>
      </c>
      <c r="E16" s="31" t="str">
        <f>VLOOKUP(D16,Datos!$B$8:$E$21,2,)</f>
        <v>Licencias</v>
      </c>
      <c r="F16" s="31" t="str">
        <f>VLOOKUP(D16,Datos!$B$8:$E$21,3,)</f>
        <v>Cantidad</v>
      </c>
      <c r="G16" s="32">
        <v>1.0</v>
      </c>
      <c r="H16" s="14">
        <f>VLOOKUP(D16,Datos!$B$8:$G$29,4,FALSE())</f>
        <v>150000</v>
      </c>
      <c r="I16" s="14">
        <f t="shared" si="2"/>
        <v>150000</v>
      </c>
      <c r="J16" s="1"/>
      <c r="K16" s="1"/>
      <c r="L16" s="1"/>
      <c r="M16" s="1"/>
      <c r="N16" s="1"/>
      <c r="O16" s="1"/>
      <c r="P16" s="1"/>
      <c r="Q16" s="1"/>
      <c r="R16" s="1"/>
      <c r="S16" s="1"/>
      <c r="T16" s="1"/>
      <c r="U16" s="1"/>
      <c r="V16" s="1"/>
      <c r="W16" s="1"/>
      <c r="X16" s="1"/>
      <c r="Y16" s="1"/>
      <c r="Z16" s="1"/>
    </row>
    <row r="17" ht="14.25" customHeight="1">
      <c r="A17" s="1"/>
      <c r="B17" s="1"/>
      <c r="C17" s="13"/>
      <c r="D17" s="17" t="s">
        <v>25</v>
      </c>
      <c r="E17" s="31" t="str">
        <f>VLOOKUP(D17,Datos!$B$8:$E$21,2,)</f>
        <v>Materiales</v>
      </c>
      <c r="F17" s="31" t="str">
        <f>VLOOKUP(D17,Datos!$B$8:$E$21,3,)</f>
        <v>Cantidad</v>
      </c>
      <c r="G17" s="32">
        <v>1.0</v>
      </c>
      <c r="H17" s="14">
        <f>VLOOKUP(D17,Datos!$B$8:$G$29,4,FALSE())</f>
        <v>150000</v>
      </c>
      <c r="I17" s="14">
        <f t="shared" si="2"/>
        <v>150000</v>
      </c>
      <c r="J17" s="1"/>
      <c r="K17" s="1"/>
      <c r="L17" s="1"/>
      <c r="M17" s="1"/>
      <c r="N17" s="1"/>
      <c r="O17" s="1"/>
      <c r="P17" s="1"/>
      <c r="Q17" s="1"/>
      <c r="R17" s="1"/>
      <c r="S17" s="1"/>
      <c r="T17" s="1"/>
      <c r="U17" s="1"/>
      <c r="V17" s="1"/>
      <c r="W17" s="1"/>
      <c r="X17" s="1"/>
      <c r="Y17" s="1"/>
      <c r="Z17" s="1"/>
    </row>
    <row r="18" ht="15.0" customHeight="1">
      <c r="A18" s="1"/>
      <c r="B18" s="11">
        <v>2.0</v>
      </c>
      <c r="C18" s="19" t="s">
        <v>58</v>
      </c>
      <c r="D18" s="27"/>
      <c r="E18" s="27"/>
      <c r="F18" s="27"/>
      <c r="G18" s="28"/>
      <c r="H18" s="29"/>
      <c r="I18" s="29">
        <f>I19+I25</f>
        <v>14350000</v>
      </c>
      <c r="J18" s="1"/>
      <c r="K18" s="1"/>
      <c r="L18" s="1"/>
      <c r="M18" s="1"/>
      <c r="N18" s="1"/>
      <c r="O18" s="1"/>
      <c r="P18" s="1"/>
      <c r="Q18" s="1"/>
      <c r="R18" s="1"/>
      <c r="S18" s="1"/>
      <c r="T18" s="1"/>
      <c r="U18" s="1"/>
      <c r="V18" s="1"/>
      <c r="W18" s="1"/>
      <c r="X18" s="1"/>
      <c r="Y18" s="1"/>
      <c r="Z18" s="1"/>
    </row>
    <row r="19" ht="14.25" customHeight="1">
      <c r="A19" s="1"/>
      <c r="B19" s="13" t="s">
        <v>59</v>
      </c>
      <c r="C19" s="17" t="s">
        <v>60</v>
      </c>
      <c r="D19" s="13"/>
      <c r="E19" s="13"/>
      <c r="F19" s="13"/>
      <c r="G19" s="30"/>
      <c r="H19" s="14"/>
      <c r="I19" s="14">
        <f>I20</f>
        <v>13800000</v>
      </c>
      <c r="J19" s="1"/>
      <c r="K19" s="1"/>
      <c r="L19" s="1"/>
      <c r="M19" s="1"/>
      <c r="N19" s="1"/>
      <c r="O19" s="1"/>
      <c r="P19" s="1"/>
      <c r="Q19" s="1"/>
      <c r="R19" s="1"/>
      <c r="S19" s="1"/>
      <c r="T19" s="1"/>
      <c r="U19" s="1"/>
      <c r="V19" s="1"/>
      <c r="W19" s="1"/>
      <c r="X19" s="1"/>
      <c r="Y19" s="1"/>
      <c r="Z19" s="1"/>
    </row>
    <row r="20" ht="14.25" customHeight="1">
      <c r="A20" s="1"/>
      <c r="B20" s="13" t="s">
        <v>61</v>
      </c>
      <c r="C20" s="17" t="s">
        <v>62</v>
      </c>
      <c r="D20" s="13"/>
      <c r="E20" s="13"/>
      <c r="F20" s="13"/>
      <c r="G20" s="30"/>
      <c r="H20" s="14"/>
      <c r="I20" s="14">
        <f>SUM(I21:I24)</f>
        <v>13800000</v>
      </c>
      <c r="J20" s="1"/>
      <c r="K20" s="1"/>
      <c r="L20" s="1"/>
      <c r="M20" s="1"/>
      <c r="N20" s="1"/>
      <c r="O20" s="1"/>
      <c r="P20" s="1"/>
      <c r="Q20" s="1"/>
      <c r="R20" s="1"/>
      <c r="S20" s="1"/>
      <c r="T20" s="1"/>
      <c r="U20" s="1"/>
      <c r="V20" s="1"/>
      <c r="W20" s="1"/>
      <c r="X20" s="1"/>
      <c r="Y20" s="1"/>
      <c r="Z20" s="1"/>
    </row>
    <row r="21" ht="14.25" customHeight="1">
      <c r="A21" s="1"/>
      <c r="B21" s="13"/>
      <c r="C21" s="13"/>
      <c r="D21" s="18" t="s">
        <v>15</v>
      </c>
      <c r="E21" s="31" t="str">
        <f>VLOOKUP(D21,Datos!$B$8:$E$21,2,)</f>
        <v>Labor (Personal)</v>
      </c>
      <c r="F21" s="31" t="str">
        <f>VLOOKUP(D21,Datos!$B$8:$E$21,3,)</f>
        <v>Meses</v>
      </c>
      <c r="G21" s="32">
        <v>6.0</v>
      </c>
      <c r="H21" s="14">
        <f>VLOOKUP(D21,Datos!$B$8:$E$21,4,)</f>
        <v>600000</v>
      </c>
      <c r="I21" s="14">
        <f t="shared" ref="I21:I24" si="3">G21*H21</f>
        <v>3600000</v>
      </c>
      <c r="J21" s="1"/>
      <c r="K21" s="1"/>
      <c r="L21" s="1"/>
      <c r="M21" s="1"/>
      <c r="N21" s="1"/>
      <c r="O21" s="1"/>
      <c r="P21" s="1"/>
      <c r="Q21" s="1"/>
      <c r="R21" s="1"/>
      <c r="S21" s="1"/>
      <c r="T21" s="1"/>
      <c r="U21" s="1"/>
      <c r="V21" s="1"/>
      <c r="W21" s="1"/>
      <c r="X21" s="1"/>
      <c r="Y21" s="1"/>
      <c r="Z21" s="1"/>
    </row>
    <row r="22" ht="14.25" customHeight="1">
      <c r="A22" s="1"/>
      <c r="B22" s="13"/>
      <c r="C22" s="13"/>
      <c r="D22" s="18" t="s">
        <v>16</v>
      </c>
      <c r="E22" s="31" t="str">
        <f>VLOOKUP(D22,Datos!$B$8:$E$21,2,)</f>
        <v>Labor (Personal)</v>
      </c>
      <c r="F22" s="31" t="str">
        <f>VLOOKUP(D22,Datos!$B$8:$E$21,3,)</f>
        <v>Meses</v>
      </c>
      <c r="G22" s="32">
        <v>6.0</v>
      </c>
      <c r="H22" s="14">
        <f>VLOOKUP(D22,Datos!$B$8:$G$29,4,FALSE())</f>
        <v>600000</v>
      </c>
      <c r="I22" s="14">
        <f t="shared" si="3"/>
        <v>3600000</v>
      </c>
      <c r="J22" s="1"/>
      <c r="K22" s="1"/>
      <c r="L22" s="1"/>
      <c r="M22" s="1"/>
      <c r="N22" s="1"/>
      <c r="O22" s="1"/>
      <c r="P22" s="1"/>
      <c r="Q22" s="1"/>
      <c r="R22" s="1"/>
      <c r="S22" s="1"/>
      <c r="T22" s="1"/>
      <c r="U22" s="1"/>
      <c r="V22" s="1"/>
      <c r="W22" s="1"/>
      <c r="X22" s="1"/>
      <c r="Y22" s="1"/>
      <c r="Z22" s="1"/>
    </row>
    <row r="23" ht="14.25" customHeight="1">
      <c r="A23" s="1"/>
      <c r="B23" s="13"/>
      <c r="C23" s="13"/>
      <c r="D23" s="18" t="s">
        <v>17</v>
      </c>
      <c r="E23" s="31" t="str">
        <f>VLOOKUP(D23,Datos!$B$8:$E$21,2,)</f>
        <v>Labor (Personal)</v>
      </c>
      <c r="F23" s="31" t="str">
        <f>VLOOKUP(D23,Datos!$B$8:$E$21,3,)</f>
        <v>Meses</v>
      </c>
      <c r="G23" s="32">
        <v>6.0</v>
      </c>
      <c r="H23" s="14">
        <f>VLOOKUP(D23,Datos!$B$8:$G$29,4,FALSE())</f>
        <v>600000</v>
      </c>
      <c r="I23" s="14">
        <f t="shared" si="3"/>
        <v>3600000</v>
      </c>
      <c r="J23" s="1"/>
      <c r="K23" s="1"/>
      <c r="L23" s="1"/>
      <c r="M23" s="1"/>
      <c r="N23" s="1"/>
      <c r="O23" s="1"/>
      <c r="P23" s="1"/>
      <c r="Q23" s="1"/>
      <c r="R23" s="1"/>
      <c r="S23" s="1"/>
      <c r="T23" s="1"/>
      <c r="U23" s="1"/>
      <c r="V23" s="1"/>
      <c r="W23" s="1"/>
      <c r="X23" s="1"/>
      <c r="Y23" s="1"/>
      <c r="Z23" s="1"/>
    </row>
    <row r="24" ht="14.25" customHeight="1">
      <c r="A24" s="1"/>
      <c r="B24" s="13"/>
      <c r="C24" s="13"/>
      <c r="D24" s="18" t="s">
        <v>18</v>
      </c>
      <c r="E24" s="31" t="str">
        <f>VLOOKUP(D24,Datos!$B$8:$E$21,2,)</f>
        <v>Labor (Personal)</v>
      </c>
      <c r="F24" s="31" t="str">
        <f>VLOOKUP(D24,Datos!$B$8:$E$21,3,)</f>
        <v>Meses</v>
      </c>
      <c r="G24" s="32">
        <v>6.0</v>
      </c>
      <c r="H24" s="14">
        <f>VLOOKUP(D24,Datos!$B$8:$E$21,4)</f>
        <v>500000</v>
      </c>
      <c r="I24" s="14">
        <f t="shared" si="3"/>
        <v>3000000</v>
      </c>
      <c r="J24" s="1"/>
      <c r="K24" s="1"/>
      <c r="L24" s="1"/>
      <c r="M24" s="1"/>
      <c r="N24" s="1"/>
      <c r="O24" s="1"/>
      <c r="P24" s="1"/>
      <c r="Q24" s="1"/>
      <c r="R24" s="1"/>
      <c r="S24" s="1"/>
      <c r="T24" s="1"/>
      <c r="U24" s="1"/>
      <c r="V24" s="1"/>
      <c r="W24" s="1"/>
      <c r="X24" s="1"/>
      <c r="Y24" s="1"/>
      <c r="Z24" s="1"/>
    </row>
    <row r="25" ht="14.25" customHeight="1">
      <c r="A25" s="1"/>
      <c r="B25" s="38">
        <v>46055.0</v>
      </c>
      <c r="C25" s="17" t="s">
        <v>63</v>
      </c>
      <c r="D25" s="13"/>
      <c r="E25" s="13"/>
      <c r="F25" s="13"/>
      <c r="G25" s="30"/>
      <c r="H25" s="14"/>
      <c r="I25" s="14">
        <f>I26+I28+I30</f>
        <v>550000</v>
      </c>
      <c r="J25" s="1"/>
      <c r="K25" s="1"/>
      <c r="L25" s="1"/>
      <c r="M25" s="1"/>
      <c r="N25" s="1"/>
      <c r="O25" s="1"/>
      <c r="P25" s="1"/>
      <c r="Q25" s="1"/>
      <c r="R25" s="1"/>
      <c r="S25" s="1"/>
      <c r="T25" s="1"/>
      <c r="U25" s="1"/>
      <c r="V25" s="1"/>
      <c r="W25" s="1"/>
      <c r="X25" s="1"/>
      <c r="Y25" s="1"/>
      <c r="Z25" s="1"/>
    </row>
    <row r="26" ht="14.25" customHeight="1">
      <c r="A26" s="1"/>
      <c r="B26" s="39" t="s">
        <v>64</v>
      </c>
      <c r="C26" s="17" t="s">
        <v>65</v>
      </c>
      <c r="D26" s="13"/>
      <c r="E26" s="13"/>
      <c r="F26" s="13"/>
      <c r="G26" s="30"/>
      <c r="H26" s="14"/>
      <c r="I26" s="14">
        <f>I27</f>
        <v>250000</v>
      </c>
      <c r="J26" s="1"/>
      <c r="K26" s="1"/>
      <c r="L26" s="1"/>
      <c r="M26" s="1"/>
      <c r="N26" s="1"/>
      <c r="O26" s="1"/>
      <c r="P26" s="1"/>
      <c r="Q26" s="1"/>
      <c r="R26" s="1"/>
      <c r="S26" s="1"/>
      <c r="T26" s="1"/>
      <c r="U26" s="1"/>
      <c r="V26" s="1"/>
      <c r="W26" s="1"/>
      <c r="X26" s="1"/>
      <c r="Y26" s="1"/>
      <c r="Z26" s="1"/>
    </row>
    <row r="27" ht="14.25" customHeight="1">
      <c r="A27" s="1"/>
      <c r="B27" s="13"/>
      <c r="C27" s="13"/>
      <c r="D27" s="18" t="s">
        <v>24</v>
      </c>
      <c r="E27" s="31" t="str">
        <f>VLOOKUP(D27,Datos!$B$8:$E$21,2,)</f>
        <v>Materiales</v>
      </c>
      <c r="F27" s="31" t="str">
        <f>VLOOKUP(D27,Datos!$B$8:$E$21,3,)</f>
        <v>Cantidad</v>
      </c>
      <c r="G27" s="32">
        <v>1.0</v>
      </c>
      <c r="H27" s="14">
        <f>VLOOKUP(D27,Datos!$B$8:$E$21,4,)</f>
        <v>250000</v>
      </c>
      <c r="I27" s="14">
        <f>G27*H27</f>
        <v>250000</v>
      </c>
      <c r="J27" s="1"/>
      <c r="K27" s="1"/>
      <c r="L27" s="1"/>
      <c r="M27" s="1"/>
      <c r="N27" s="1"/>
      <c r="O27" s="1"/>
      <c r="P27" s="1"/>
      <c r="Q27" s="1"/>
      <c r="R27" s="1"/>
      <c r="S27" s="1"/>
      <c r="T27" s="1"/>
      <c r="U27" s="1"/>
      <c r="V27" s="1"/>
      <c r="W27" s="1"/>
      <c r="X27" s="1"/>
      <c r="Y27" s="1"/>
      <c r="Z27" s="1"/>
    </row>
    <row r="28" ht="14.25" customHeight="1">
      <c r="A28" s="1"/>
      <c r="B28" s="39" t="s">
        <v>66</v>
      </c>
      <c r="C28" s="17" t="s">
        <v>67</v>
      </c>
      <c r="D28" s="13"/>
      <c r="E28" s="13"/>
      <c r="F28" s="13"/>
      <c r="G28" s="30"/>
      <c r="H28" s="14"/>
      <c r="I28" s="14">
        <f>I29</f>
        <v>200000</v>
      </c>
      <c r="J28" s="1"/>
      <c r="K28" s="1"/>
      <c r="L28" s="1"/>
      <c r="M28" s="1"/>
      <c r="N28" s="1"/>
      <c r="O28" s="1"/>
      <c r="P28" s="1"/>
      <c r="Q28" s="1"/>
      <c r="R28" s="1"/>
      <c r="S28" s="1"/>
      <c r="T28" s="1"/>
      <c r="U28" s="1"/>
      <c r="V28" s="1"/>
      <c r="W28" s="1"/>
      <c r="X28" s="1"/>
      <c r="Y28" s="1"/>
      <c r="Z28" s="1"/>
    </row>
    <row r="29" ht="14.25" customHeight="1">
      <c r="A29" s="1"/>
      <c r="B29" s="13"/>
      <c r="C29" s="13"/>
      <c r="D29" s="18" t="s">
        <v>30</v>
      </c>
      <c r="E29" s="31" t="str">
        <f>VLOOKUP(D29,Datos!$B$8:$G$29,2,FALSE())</f>
        <v>Servicios Técnicos</v>
      </c>
      <c r="F29" s="31" t="str">
        <f>VLOOKUP(D29,Datos!$B$8:$G$29,3,FALSE())</f>
        <v>Cantidad</v>
      </c>
      <c r="G29" s="32">
        <v>1.0</v>
      </c>
      <c r="H29" s="14">
        <f>VLOOKUP(D29,Datos!$B$8:$G$29,4,FALSE())</f>
        <v>200000</v>
      </c>
      <c r="I29" s="14">
        <f>G29*H29</f>
        <v>200000</v>
      </c>
      <c r="J29" s="1"/>
      <c r="K29" s="1"/>
      <c r="L29" s="1"/>
      <c r="M29" s="1"/>
      <c r="N29" s="1"/>
      <c r="O29" s="1"/>
      <c r="P29" s="1"/>
      <c r="Q29" s="1"/>
      <c r="R29" s="1"/>
      <c r="S29" s="1"/>
      <c r="T29" s="1"/>
      <c r="U29" s="1"/>
      <c r="V29" s="1"/>
      <c r="W29" s="1"/>
      <c r="X29" s="1"/>
      <c r="Y29" s="1"/>
      <c r="Z29" s="1"/>
    </row>
    <row r="30" ht="14.25" customHeight="1">
      <c r="A30" s="1"/>
      <c r="B30" s="39" t="s">
        <v>68</v>
      </c>
      <c r="C30" s="17" t="s">
        <v>69</v>
      </c>
      <c r="D30" s="13"/>
      <c r="E30" s="13"/>
      <c r="F30" s="13"/>
      <c r="G30" s="30"/>
      <c r="H30" s="14"/>
      <c r="I30" s="14">
        <f>I31</f>
        <v>100000</v>
      </c>
      <c r="J30" s="1"/>
      <c r="K30" s="1"/>
      <c r="L30" s="1"/>
      <c r="M30" s="1"/>
      <c r="N30" s="1"/>
      <c r="O30" s="1"/>
      <c r="P30" s="1"/>
      <c r="Q30" s="1"/>
      <c r="R30" s="1"/>
      <c r="S30" s="1"/>
      <c r="T30" s="1"/>
      <c r="U30" s="1"/>
      <c r="V30" s="1"/>
      <c r="W30" s="1"/>
      <c r="X30" s="1"/>
      <c r="Y30" s="1"/>
      <c r="Z30" s="1"/>
    </row>
    <row r="31" ht="14.25" customHeight="1">
      <c r="A31" s="1"/>
      <c r="B31" s="13"/>
      <c r="C31" s="13"/>
      <c r="D31" s="18" t="s">
        <v>31</v>
      </c>
      <c r="E31" s="31" t="str">
        <f>VLOOKUP(D31,Datos!$B$8:$G$29,2,FALSE())</f>
        <v>Servicios Técnicos</v>
      </c>
      <c r="F31" s="31" t="str">
        <f>VLOOKUP(D31,Datos!$B$8:$G$29,3,FALSE())</f>
        <v>Cantidad</v>
      </c>
      <c r="G31" s="32">
        <v>1.0</v>
      </c>
      <c r="H31" s="14">
        <f>VLOOKUP(D31,Datos!$B$8:$G$29,4,FALSE())</f>
        <v>100000</v>
      </c>
      <c r="I31" s="14">
        <f>G31*H31</f>
        <v>100000</v>
      </c>
      <c r="J31" s="1"/>
      <c r="K31" s="1"/>
      <c r="L31" s="1"/>
      <c r="M31" s="1"/>
      <c r="N31" s="1"/>
      <c r="O31" s="1"/>
      <c r="P31" s="1"/>
      <c r="Q31" s="1"/>
      <c r="R31" s="1"/>
      <c r="S31" s="1"/>
      <c r="T31" s="1"/>
      <c r="U31" s="1"/>
      <c r="V31" s="1"/>
      <c r="W31" s="1"/>
      <c r="X31" s="1"/>
      <c r="Y31" s="1"/>
      <c r="Z31" s="1"/>
    </row>
    <row r="32" ht="14.25" customHeight="1">
      <c r="A32" s="1"/>
      <c r="B32" s="19">
        <v>3.0</v>
      </c>
      <c r="C32" s="19" t="s">
        <v>58</v>
      </c>
      <c r="D32" s="27"/>
      <c r="E32" s="27"/>
      <c r="F32" s="27"/>
      <c r="G32" s="28"/>
      <c r="H32" s="29"/>
      <c r="I32" s="29">
        <f>I33+I36</f>
        <v>2580000</v>
      </c>
      <c r="J32" s="1"/>
      <c r="K32" s="1"/>
      <c r="L32" s="1"/>
      <c r="M32" s="1"/>
      <c r="N32" s="1"/>
      <c r="O32" s="1"/>
      <c r="P32" s="1"/>
      <c r="Q32" s="1"/>
      <c r="R32" s="1"/>
      <c r="S32" s="1"/>
      <c r="T32" s="1"/>
      <c r="U32" s="1"/>
      <c r="V32" s="1"/>
      <c r="W32" s="1"/>
      <c r="X32" s="1"/>
      <c r="Y32" s="1"/>
      <c r="Z32" s="1"/>
    </row>
    <row r="33" ht="14.25" customHeight="1">
      <c r="A33" s="1"/>
      <c r="B33" s="38">
        <v>46025.0</v>
      </c>
      <c r="C33" s="17" t="s">
        <v>70</v>
      </c>
      <c r="D33" s="13"/>
      <c r="E33" s="13"/>
      <c r="F33" s="13"/>
      <c r="G33" s="30"/>
      <c r="H33" s="14"/>
      <c r="I33" s="14">
        <f>I34</f>
        <v>1800000</v>
      </c>
      <c r="J33" s="1"/>
      <c r="K33" s="1"/>
      <c r="L33" s="1"/>
      <c r="M33" s="1"/>
      <c r="N33" s="1"/>
      <c r="O33" s="1"/>
      <c r="P33" s="1"/>
      <c r="Q33" s="1"/>
      <c r="R33" s="1"/>
      <c r="S33" s="1"/>
      <c r="T33" s="1"/>
      <c r="U33" s="1"/>
      <c r="V33" s="1"/>
      <c r="W33" s="1"/>
      <c r="X33" s="1"/>
      <c r="Y33" s="1"/>
      <c r="Z33" s="1"/>
    </row>
    <row r="34" ht="14.25" customHeight="1">
      <c r="A34" s="1"/>
      <c r="B34" s="39" t="s">
        <v>71</v>
      </c>
      <c r="C34" s="17" t="s">
        <v>72</v>
      </c>
      <c r="D34" s="13"/>
      <c r="E34" s="13"/>
      <c r="F34" s="13"/>
      <c r="G34" s="30"/>
      <c r="H34" s="14"/>
      <c r="I34" s="14">
        <f>SUM(I35)</f>
        <v>1800000</v>
      </c>
      <c r="J34" s="1"/>
      <c r="K34" s="1"/>
      <c r="L34" s="1"/>
      <c r="M34" s="1"/>
      <c r="N34" s="1"/>
      <c r="O34" s="1"/>
      <c r="P34" s="1"/>
      <c r="Q34" s="1"/>
      <c r="R34" s="1"/>
      <c r="S34" s="1"/>
      <c r="T34" s="1"/>
      <c r="U34" s="1"/>
      <c r="V34" s="1"/>
      <c r="W34" s="1"/>
      <c r="X34" s="1"/>
      <c r="Y34" s="1"/>
      <c r="Z34" s="1"/>
    </row>
    <row r="35" ht="14.25" customHeight="1">
      <c r="A35" s="1"/>
      <c r="B35" s="13"/>
      <c r="C35" s="13"/>
      <c r="D35" s="18" t="s">
        <v>19</v>
      </c>
      <c r="E35" s="31" t="str">
        <f>VLOOKUP(D35,Datos!$B$8:$E$21,2,)</f>
        <v>Labor (Personal)</v>
      </c>
      <c r="F35" s="31" t="str">
        <f>VLOOKUP(D35,Datos!$B$8:$E$21,3,)</f>
        <v>Meses</v>
      </c>
      <c r="G35" s="32">
        <v>6.0</v>
      </c>
      <c r="H35" s="14">
        <f>VLOOKUP(D35,Datos!$B$8:$E$21,4,)</f>
        <v>300000</v>
      </c>
      <c r="I35" s="14">
        <f>G35*H35</f>
        <v>1800000</v>
      </c>
      <c r="J35" s="1"/>
      <c r="K35" s="1"/>
      <c r="L35" s="1"/>
      <c r="M35" s="1"/>
      <c r="N35" s="1"/>
      <c r="O35" s="1"/>
      <c r="P35" s="1"/>
      <c r="Q35" s="1"/>
      <c r="R35" s="1"/>
      <c r="S35" s="1"/>
      <c r="T35" s="1"/>
      <c r="U35" s="1"/>
      <c r="V35" s="1"/>
      <c r="W35" s="1"/>
      <c r="X35" s="1"/>
      <c r="Y35" s="1"/>
      <c r="Z35" s="1"/>
    </row>
    <row r="36" ht="14.25" customHeight="1">
      <c r="A36" s="1"/>
      <c r="B36" s="38">
        <v>46056.0</v>
      </c>
      <c r="C36" s="17" t="s">
        <v>40</v>
      </c>
      <c r="D36" s="13"/>
      <c r="E36" s="13"/>
      <c r="F36" s="13"/>
      <c r="G36" s="30"/>
      <c r="H36" s="14"/>
      <c r="I36" s="14">
        <f>I37</f>
        <v>780000</v>
      </c>
      <c r="J36" s="1"/>
      <c r="K36" s="1"/>
      <c r="L36" s="1"/>
      <c r="M36" s="1"/>
      <c r="N36" s="1"/>
      <c r="O36" s="1"/>
      <c r="P36" s="1"/>
      <c r="Q36" s="1"/>
      <c r="R36" s="1"/>
      <c r="S36" s="1"/>
      <c r="T36" s="1"/>
      <c r="U36" s="1"/>
      <c r="V36" s="1"/>
      <c r="W36" s="1"/>
      <c r="X36" s="1"/>
      <c r="Y36" s="1"/>
      <c r="Z36" s="1"/>
    </row>
    <row r="37" ht="14.25" customHeight="1">
      <c r="A37" s="1"/>
      <c r="B37" s="39" t="s">
        <v>73</v>
      </c>
      <c r="C37" s="17" t="s">
        <v>74</v>
      </c>
      <c r="D37" s="13"/>
      <c r="E37" s="13"/>
      <c r="F37" s="13"/>
      <c r="G37" s="30"/>
      <c r="H37" s="14"/>
      <c r="I37" s="14">
        <f>+I38+I39</f>
        <v>780000</v>
      </c>
      <c r="J37" s="1"/>
      <c r="K37" s="1"/>
      <c r="L37" s="1"/>
      <c r="M37" s="1"/>
      <c r="N37" s="1"/>
      <c r="O37" s="1"/>
      <c r="P37" s="1"/>
      <c r="Q37" s="1"/>
      <c r="R37" s="1"/>
      <c r="S37" s="1"/>
      <c r="T37" s="1"/>
      <c r="U37" s="1"/>
      <c r="V37" s="1"/>
      <c r="W37" s="1"/>
      <c r="X37" s="1"/>
      <c r="Y37" s="1"/>
      <c r="Z37" s="1"/>
    </row>
    <row r="38" ht="14.25" customHeight="1">
      <c r="A38" s="1"/>
      <c r="B38" s="39"/>
      <c r="C38" s="17"/>
      <c r="D38" s="18" t="s">
        <v>33</v>
      </c>
      <c r="E38" s="13" t="str">
        <f>VLOOKUP(D38,Datos!$B$8:$G$29,2,FALSE())</f>
        <v>Gastos Indirectos</v>
      </c>
      <c r="F38" s="13" t="str">
        <f>VLOOKUP(D38,Datos!$B$8:$G$29,3,FALSE())</f>
        <v>Meses</v>
      </c>
      <c r="G38" s="32">
        <v>6.0</v>
      </c>
      <c r="H38" s="14">
        <f>VLOOKUP(D38,Datos!$B$8:$G$29,4,FALSE())</f>
        <v>100000</v>
      </c>
      <c r="I38" s="14">
        <f t="shared" ref="I38:I39" si="4">H38*G38</f>
        <v>600000</v>
      </c>
      <c r="J38" s="1"/>
      <c r="K38" s="1"/>
      <c r="L38" s="1"/>
      <c r="M38" s="1"/>
      <c r="N38" s="1"/>
      <c r="O38" s="1"/>
      <c r="P38" s="1"/>
      <c r="Q38" s="1"/>
      <c r="R38" s="1"/>
      <c r="S38" s="1"/>
      <c r="T38" s="1"/>
      <c r="U38" s="1"/>
      <c r="V38" s="1"/>
      <c r="W38" s="1"/>
      <c r="X38" s="1"/>
      <c r="Y38" s="1"/>
      <c r="Z38" s="1"/>
    </row>
    <row r="39" ht="14.25" customHeight="1">
      <c r="A39" s="1"/>
      <c r="B39" s="39"/>
      <c r="C39" s="17"/>
      <c r="D39" s="18" t="s">
        <v>34</v>
      </c>
      <c r="E39" s="13" t="str">
        <f>VLOOKUP(D39,Datos!$B$8:$G$29,2,FALSE())</f>
        <v>Gastos Indirectos</v>
      </c>
      <c r="F39" s="13" t="str">
        <f>VLOOKUP(D39,Datos!$B$8:$G$29,3,FALSE())</f>
        <v>Meses</v>
      </c>
      <c r="G39" s="32">
        <v>6.0</v>
      </c>
      <c r="H39" s="14">
        <f>VLOOKUP(D39,Datos!$B$8:$G$29,4,FALSE())</f>
        <v>30000</v>
      </c>
      <c r="I39" s="14">
        <f t="shared" si="4"/>
        <v>180000</v>
      </c>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sheetData>
  <printOptions/>
  <pageMargins bottom="0.7480314960629921" footer="0.0" header="0.0" left="0.2362204724409449" right="0.2362204724409449" top="0.7480314960629921"/>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35.71"/>
    <col customWidth="1" min="4" max="4" width="13.29"/>
    <col customWidth="1" min="5" max="5" width="19.0"/>
    <col customWidth="1" min="6" max="6" width="11.43"/>
    <col customWidth="1" min="7" max="7" width="21.29"/>
    <col customWidth="1" min="8" max="26" width="11.43"/>
  </cols>
  <sheetData>
    <row r="1" ht="14.25" customHeight="1">
      <c r="A1" s="1"/>
      <c r="B1" s="2" t="s">
        <v>75</v>
      </c>
      <c r="C1" s="1"/>
      <c r="D1" s="1"/>
      <c r="E1" s="1"/>
      <c r="F1" s="3" t="s">
        <v>1</v>
      </c>
      <c r="G1" s="1"/>
      <c r="H1" s="1"/>
      <c r="I1" s="1"/>
      <c r="J1" s="1"/>
      <c r="K1" s="1"/>
      <c r="L1" s="1"/>
      <c r="M1" s="1"/>
      <c r="N1" s="1"/>
      <c r="O1" s="1"/>
      <c r="P1" s="1"/>
      <c r="Q1" s="1"/>
      <c r="R1" s="1"/>
      <c r="S1" s="1"/>
      <c r="T1" s="1"/>
      <c r="U1" s="1"/>
      <c r="V1" s="1"/>
      <c r="W1" s="1"/>
      <c r="X1" s="1"/>
      <c r="Y1" s="1"/>
      <c r="Z1" s="1"/>
    </row>
    <row r="2" ht="14.25" customHeight="1">
      <c r="A2" s="1"/>
      <c r="B2" s="4" t="s">
        <v>2</v>
      </c>
      <c r="C2" s="1"/>
      <c r="D2" s="1"/>
      <c r="E2" s="1" t="s">
        <v>3</v>
      </c>
      <c r="F2" s="1"/>
      <c r="G2" s="5">
        <f>'Presupuesto Detallado Medio'!I2</f>
        <v>0.05658709107</v>
      </c>
      <c r="H2" s="1"/>
      <c r="I2" s="1"/>
      <c r="J2" s="1"/>
      <c r="K2" s="1"/>
      <c r="L2" s="1"/>
      <c r="M2" s="1"/>
      <c r="N2" s="1"/>
      <c r="O2" s="1"/>
      <c r="P2" s="1"/>
      <c r="Q2" s="1"/>
      <c r="R2" s="1"/>
      <c r="S2" s="1"/>
      <c r="T2" s="1"/>
      <c r="U2" s="1"/>
      <c r="V2" s="1"/>
      <c r="W2" s="1"/>
      <c r="X2" s="1"/>
      <c r="Y2" s="1"/>
      <c r="Z2" s="1"/>
    </row>
    <row r="3" ht="14.25" customHeight="1">
      <c r="A3" s="1"/>
      <c r="B3" s="6" t="s">
        <v>4</v>
      </c>
      <c r="C3" s="1"/>
      <c r="D3" s="7"/>
      <c r="E3" s="8" t="s">
        <v>5</v>
      </c>
      <c r="F3" s="8" t="s">
        <v>6</v>
      </c>
      <c r="G3" s="8" t="s">
        <v>7</v>
      </c>
      <c r="H3" s="1"/>
      <c r="I3" s="1"/>
      <c r="J3" s="1"/>
      <c r="K3" s="1"/>
      <c r="L3" s="1"/>
      <c r="M3" s="1"/>
      <c r="N3" s="1"/>
      <c r="O3" s="1"/>
      <c r="P3" s="1"/>
      <c r="Q3" s="1"/>
      <c r="R3" s="1"/>
      <c r="S3" s="1"/>
      <c r="T3" s="1"/>
      <c r="U3" s="1"/>
      <c r="V3" s="1"/>
      <c r="W3" s="1"/>
      <c r="X3" s="1"/>
      <c r="Y3" s="1"/>
      <c r="Z3" s="1"/>
    </row>
    <row r="4" ht="14.25" customHeight="1">
      <c r="A4" s="1"/>
      <c r="B4" s="6" t="s">
        <v>8</v>
      </c>
      <c r="C4" s="1"/>
      <c r="D4" s="9" t="s">
        <v>7</v>
      </c>
      <c r="E4" s="10">
        <f>G7+G27</f>
        <v>22620000</v>
      </c>
      <c r="F4" s="10">
        <f>E4*G2</f>
        <v>1280000</v>
      </c>
      <c r="G4" s="10">
        <f>SUM(E4:F4)</f>
        <v>23900000</v>
      </c>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9</v>
      </c>
      <c r="C6" s="8" t="s">
        <v>10</v>
      </c>
      <c r="D6" s="8"/>
      <c r="E6" s="8" t="s">
        <v>11</v>
      </c>
      <c r="F6" s="8" t="s">
        <v>12</v>
      </c>
      <c r="G6" s="8" t="s">
        <v>5</v>
      </c>
      <c r="H6" s="1"/>
      <c r="I6" s="1"/>
      <c r="J6" s="1"/>
      <c r="K6" s="1"/>
      <c r="L6" s="1"/>
      <c r="M6" s="1"/>
      <c r="N6" s="1"/>
      <c r="O6" s="1"/>
      <c r="P6" s="1"/>
      <c r="Q6" s="1"/>
      <c r="R6" s="1"/>
      <c r="S6" s="1"/>
      <c r="T6" s="1"/>
      <c r="U6" s="1"/>
      <c r="V6" s="1"/>
      <c r="W6" s="1"/>
      <c r="X6" s="1"/>
      <c r="Y6" s="1"/>
      <c r="Z6" s="1"/>
    </row>
    <row r="7" ht="14.25" customHeight="1">
      <c r="A7" s="1"/>
      <c r="B7" s="11" t="s">
        <v>13</v>
      </c>
      <c r="C7" s="11"/>
      <c r="D7" s="11"/>
      <c r="E7" s="11"/>
      <c r="F7" s="11"/>
      <c r="G7" s="40">
        <f>G8+G14+G21+G23</f>
        <v>21600000</v>
      </c>
      <c r="H7" s="1"/>
      <c r="I7" s="1"/>
      <c r="J7" s="1"/>
      <c r="K7" s="1"/>
      <c r="L7" s="1"/>
      <c r="M7" s="1"/>
      <c r="N7" s="1"/>
      <c r="O7" s="1"/>
      <c r="P7" s="1"/>
      <c r="Q7" s="1"/>
      <c r="R7" s="1"/>
      <c r="S7" s="1"/>
      <c r="T7" s="1"/>
      <c r="U7" s="1"/>
      <c r="V7" s="1"/>
      <c r="W7" s="1"/>
      <c r="X7" s="1"/>
      <c r="Y7" s="1"/>
      <c r="Z7" s="1"/>
    </row>
    <row r="8" ht="14.25" customHeight="1">
      <c r="A8" s="1"/>
      <c r="B8" s="13" t="s">
        <v>14</v>
      </c>
      <c r="C8" s="13"/>
      <c r="D8" s="13"/>
      <c r="E8" s="13"/>
      <c r="F8" s="13"/>
      <c r="G8" s="16">
        <f>G9+G10+G11+G12+G13</f>
        <v>19200000</v>
      </c>
      <c r="H8" s="1"/>
      <c r="I8" s="1"/>
      <c r="J8" s="1"/>
      <c r="K8" s="1"/>
      <c r="L8" s="1"/>
      <c r="M8" s="1"/>
      <c r="N8" s="1"/>
      <c r="O8" s="1"/>
      <c r="P8" s="1"/>
      <c r="Q8" s="1"/>
      <c r="R8" s="1"/>
      <c r="S8" s="1"/>
      <c r="T8" s="1"/>
      <c r="U8" s="1"/>
      <c r="V8" s="1"/>
      <c r="W8" s="1"/>
      <c r="X8" s="1"/>
      <c r="Y8" s="1"/>
      <c r="Z8" s="1"/>
    </row>
    <row r="9" ht="14.25" customHeight="1">
      <c r="A9" s="1"/>
      <c r="B9" s="13"/>
      <c r="C9" s="15" t="s">
        <v>15</v>
      </c>
      <c r="D9" s="13"/>
      <c r="E9" s="13" t="str">
        <f>VLOOKUP(C9,Datos!$B$8:$E$21,3,)</f>
        <v>Meses</v>
      </c>
      <c r="F9" s="16">
        <f>VLOOKUP(C9,Datos!$B$8:$G$29,5,FALSE())</f>
        <v>700000</v>
      </c>
      <c r="G9" s="16">
        <f>SUMIFS('Presupuesto Detallado Medio'!$I$7:$I$39,'Presupuesto Detallado Medio'!$D$7:$D$39,$C9)</f>
        <v>4200000</v>
      </c>
      <c r="H9" s="1"/>
      <c r="I9" s="1"/>
      <c r="J9" s="1"/>
      <c r="K9" s="1"/>
      <c r="L9" s="1"/>
      <c r="M9" s="1"/>
      <c r="N9" s="1"/>
      <c r="O9" s="1"/>
      <c r="P9" s="1"/>
      <c r="Q9" s="1"/>
      <c r="R9" s="1"/>
      <c r="S9" s="1"/>
      <c r="T9" s="1"/>
      <c r="U9" s="1"/>
      <c r="V9" s="1"/>
      <c r="W9" s="1"/>
      <c r="X9" s="1"/>
      <c r="Y9" s="1"/>
      <c r="Z9" s="1"/>
    </row>
    <row r="10" ht="14.25" customHeight="1">
      <c r="A10" s="1"/>
      <c r="B10" s="13"/>
      <c r="C10" s="15" t="s">
        <v>16</v>
      </c>
      <c r="D10" s="13"/>
      <c r="E10" s="13" t="str">
        <f>VLOOKUP(C10,Datos!$B$8:$E$21,3,)</f>
        <v>Meses</v>
      </c>
      <c r="F10" s="16">
        <f>VLOOKUP(C10,Datos!$B$8:$G$29,5,FALSE())</f>
        <v>750000</v>
      </c>
      <c r="G10" s="16">
        <f>SUMIFS('Presupuesto Detallado Medio'!$I$7:$I$39,'Presupuesto Detallado Medio'!$D$7:$D$39,$C10)</f>
        <v>4500000</v>
      </c>
      <c r="H10" s="1"/>
      <c r="I10" s="1"/>
      <c r="J10" s="1"/>
      <c r="K10" s="1"/>
      <c r="L10" s="1"/>
      <c r="M10" s="1"/>
      <c r="N10" s="1"/>
      <c r="O10" s="1"/>
      <c r="P10" s="1"/>
      <c r="Q10" s="1"/>
      <c r="R10" s="1"/>
      <c r="S10" s="1"/>
      <c r="T10" s="1"/>
      <c r="U10" s="1"/>
      <c r="V10" s="1"/>
      <c r="W10" s="1"/>
      <c r="X10" s="1"/>
      <c r="Y10" s="1"/>
      <c r="Z10" s="1"/>
    </row>
    <row r="11" ht="14.25" customHeight="1">
      <c r="A11" s="1"/>
      <c r="B11" s="13"/>
      <c r="C11" s="15" t="s">
        <v>17</v>
      </c>
      <c r="D11" s="13"/>
      <c r="E11" s="13" t="str">
        <f>VLOOKUP(C11,Datos!$B$8:$E$21,3,)</f>
        <v>Meses</v>
      </c>
      <c r="F11" s="16">
        <f>VLOOKUP(C11,Datos!$B$8:$G$29,5,FALSE())</f>
        <v>750000</v>
      </c>
      <c r="G11" s="16">
        <f>SUMIFS('Presupuesto Detallado Medio'!$I$7:$I$39,'Presupuesto Detallado Medio'!$D$7:$D$39,$C11)</f>
        <v>4500000</v>
      </c>
      <c r="H11" s="1"/>
      <c r="I11" s="1"/>
      <c r="J11" s="1"/>
      <c r="K11" s="1"/>
      <c r="L11" s="1"/>
      <c r="M11" s="1"/>
      <c r="N11" s="1"/>
      <c r="O11" s="1"/>
      <c r="P11" s="1"/>
      <c r="Q11" s="1"/>
      <c r="R11" s="1"/>
      <c r="S11" s="1"/>
      <c r="T11" s="1"/>
      <c r="U11" s="1"/>
      <c r="V11" s="1"/>
      <c r="W11" s="1"/>
      <c r="X11" s="1"/>
      <c r="Y11" s="1"/>
      <c r="Z11" s="1"/>
    </row>
    <row r="12" ht="14.25" customHeight="1">
      <c r="A12" s="1"/>
      <c r="B12" s="13"/>
      <c r="C12" s="15" t="s">
        <v>18</v>
      </c>
      <c r="D12" s="13"/>
      <c r="E12" s="13" t="str">
        <f>VLOOKUP(C12,Datos!$B$8:$E$21,3,)</f>
        <v>Meses</v>
      </c>
      <c r="F12" s="16">
        <f>VLOOKUP(C12,Datos!$B$8:$G$29,5,FALSE())</f>
        <v>650000</v>
      </c>
      <c r="G12" s="16">
        <f>SUMIFS('Presupuesto Detallado Medio'!$I$7:$I$39,'Presupuesto Detallado Medio'!$D$7:$D$39,$C12)</f>
        <v>3900000</v>
      </c>
      <c r="H12" s="1"/>
      <c r="I12" s="1"/>
      <c r="J12" s="1"/>
      <c r="K12" s="1"/>
      <c r="L12" s="1"/>
      <c r="M12" s="1"/>
      <c r="N12" s="1"/>
      <c r="O12" s="1"/>
      <c r="P12" s="1"/>
      <c r="Q12" s="1"/>
      <c r="R12" s="1"/>
      <c r="S12" s="1"/>
      <c r="T12" s="1"/>
      <c r="U12" s="1"/>
      <c r="V12" s="1"/>
      <c r="W12" s="1"/>
      <c r="X12" s="1"/>
      <c r="Y12" s="1"/>
      <c r="Z12" s="1"/>
    </row>
    <row r="13" ht="14.25" customHeight="1">
      <c r="A13" s="1"/>
      <c r="B13" s="13"/>
      <c r="C13" s="15" t="s">
        <v>19</v>
      </c>
      <c r="D13" s="13"/>
      <c r="E13" s="13" t="str">
        <f>VLOOKUP(C13,Datos!$B$8:$E$21,3,)</f>
        <v>Meses</v>
      </c>
      <c r="F13" s="16">
        <f>VLOOKUP(C13,Datos!$B$8:$G$29,5,FALSE())</f>
        <v>350000</v>
      </c>
      <c r="G13" s="16">
        <f>SUMIFS('Presupuesto Detallado Medio'!$I$7:$I$39,'Presupuesto Detallado Medio'!$D$7:$D$39,$C13)</f>
        <v>2100000</v>
      </c>
      <c r="H13" s="1"/>
      <c r="I13" s="1"/>
      <c r="J13" s="1"/>
      <c r="K13" s="1"/>
      <c r="L13" s="1"/>
      <c r="M13" s="1"/>
      <c r="N13" s="1"/>
      <c r="O13" s="1"/>
      <c r="P13" s="1"/>
      <c r="Q13" s="1"/>
      <c r="R13" s="1"/>
      <c r="S13" s="1"/>
      <c r="T13" s="1"/>
      <c r="U13" s="1"/>
      <c r="V13" s="1"/>
      <c r="W13" s="1"/>
      <c r="X13" s="1"/>
      <c r="Y13" s="1"/>
      <c r="Z13" s="1"/>
    </row>
    <row r="14" ht="14.25" customHeight="1">
      <c r="A14" s="1"/>
      <c r="B14" s="13" t="s">
        <v>20</v>
      </c>
      <c r="C14" s="13"/>
      <c r="D14" s="13"/>
      <c r="E14" s="13"/>
      <c r="F14" s="14"/>
      <c r="G14" s="16">
        <f>G15+G16+G17+G18+G19+G20</f>
        <v>1600000</v>
      </c>
      <c r="H14" s="1"/>
      <c r="I14" s="1"/>
      <c r="J14" s="1"/>
      <c r="K14" s="1"/>
      <c r="L14" s="1"/>
      <c r="M14" s="1"/>
      <c r="N14" s="1"/>
      <c r="O14" s="1"/>
      <c r="P14" s="1"/>
      <c r="Q14" s="1"/>
      <c r="R14" s="1"/>
      <c r="S14" s="1"/>
      <c r="T14" s="1"/>
      <c r="U14" s="1"/>
      <c r="V14" s="1"/>
      <c r="W14" s="1"/>
      <c r="X14" s="1"/>
      <c r="Y14" s="1"/>
      <c r="Z14" s="1"/>
    </row>
    <row r="15" ht="14.25" customHeight="1">
      <c r="A15" s="1"/>
      <c r="B15" s="13"/>
      <c r="C15" s="17" t="s">
        <v>76</v>
      </c>
      <c r="D15" s="13"/>
      <c r="E15" s="13" t="str">
        <f>VLOOKUP(C15,Datos!$B$8:$E$21,3,)</f>
        <v>Cantidad</v>
      </c>
      <c r="F15" s="16">
        <f>VLOOKUP(C15,Datos!$B$8:$G$29,5,FALSE())</f>
        <v>500000</v>
      </c>
      <c r="G15" s="16">
        <f>SUMIFS('Presupuesto Detallado Medio'!$I$7:$I$40,'Presupuesto Detallado Medio'!$D$7:$D$40,$C15)</f>
        <v>500000</v>
      </c>
      <c r="H15" s="1"/>
      <c r="I15" s="1"/>
      <c r="J15" s="1"/>
      <c r="K15" s="1"/>
      <c r="L15" s="1"/>
      <c r="M15" s="1"/>
      <c r="N15" s="1"/>
      <c r="O15" s="1"/>
      <c r="P15" s="1"/>
      <c r="Q15" s="1"/>
      <c r="R15" s="1"/>
      <c r="S15" s="1"/>
      <c r="T15" s="1"/>
      <c r="U15" s="1"/>
      <c r="V15" s="1"/>
      <c r="W15" s="1"/>
      <c r="X15" s="1"/>
      <c r="Y15" s="1"/>
      <c r="Z15" s="1"/>
    </row>
    <row r="16" ht="14.25" customHeight="1">
      <c r="A16" s="1"/>
      <c r="B16" s="13"/>
      <c r="C16" s="17" t="s">
        <v>22</v>
      </c>
      <c r="D16" s="13"/>
      <c r="E16" s="13" t="str">
        <f>VLOOKUP(C16,Datos!$B$8:$E$21,3,)</f>
        <v>Cantidad</v>
      </c>
      <c r="F16" s="16">
        <f>VLOOKUP(C16,Datos!$B$8:$G$29,5,FALSE())</f>
        <v>200000</v>
      </c>
      <c r="G16" s="16">
        <f>SUMIFS('Presupuesto Detallado Medio'!$I$7:$I$40,'Presupuesto Detallado Medio'!$D$7:$D$40,$C16)</f>
        <v>200000</v>
      </c>
      <c r="H16" s="1"/>
      <c r="I16" s="1"/>
      <c r="J16" s="1"/>
      <c r="K16" s="1"/>
      <c r="L16" s="1"/>
      <c r="M16" s="1"/>
      <c r="N16" s="1"/>
      <c r="O16" s="1"/>
      <c r="P16" s="1"/>
      <c r="Q16" s="1"/>
      <c r="R16" s="1"/>
      <c r="S16" s="1"/>
      <c r="T16" s="1"/>
      <c r="U16" s="1"/>
      <c r="V16" s="1"/>
      <c r="W16" s="1"/>
      <c r="X16" s="1"/>
      <c r="Y16" s="1"/>
      <c r="Z16" s="1"/>
    </row>
    <row r="17" ht="14.25" customHeight="1">
      <c r="A17" s="1"/>
      <c r="B17" s="13"/>
      <c r="C17" s="17" t="s">
        <v>23</v>
      </c>
      <c r="D17" s="13"/>
      <c r="E17" s="13" t="str">
        <f>VLOOKUP(C17,Datos!$B$8:$E$21,3,)</f>
        <v>Cantidad</v>
      </c>
      <c r="F17" s="16">
        <f>VLOOKUP(C17,Datos!$B$8:$G$29,5,FALSE())</f>
        <v>150000</v>
      </c>
      <c r="G17" s="16">
        <f>SUMIFS('Presupuesto Detallado Medio'!$I$7:$I$40,'Presupuesto Detallado Medio'!$D$7:$D$40,$C17)</f>
        <v>150000</v>
      </c>
      <c r="H17" s="1"/>
      <c r="I17" s="1"/>
      <c r="J17" s="1"/>
      <c r="K17" s="1"/>
      <c r="L17" s="1"/>
      <c r="M17" s="1"/>
      <c r="N17" s="1"/>
      <c r="O17" s="1"/>
      <c r="P17" s="1"/>
      <c r="Q17" s="1"/>
      <c r="R17" s="1"/>
      <c r="S17" s="1"/>
      <c r="T17" s="1"/>
      <c r="U17" s="1"/>
      <c r="V17" s="1"/>
      <c r="W17" s="1"/>
      <c r="X17" s="1"/>
      <c r="Y17" s="1"/>
      <c r="Z17" s="1"/>
    </row>
    <row r="18" ht="14.25" customHeight="1">
      <c r="A18" s="1"/>
      <c r="B18" s="13"/>
      <c r="C18" s="17" t="s">
        <v>24</v>
      </c>
      <c r="D18" s="13"/>
      <c r="E18" s="13" t="str">
        <f>VLOOKUP(C18,Datos!$B$8:$E$21,3,)</f>
        <v>Cantidad</v>
      </c>
      <c r="F18" s="16">
        <f>VLOOKUP(C18,Datos!$B$8:$G$29,5,FALSE())</f>
        <v>300000</v>
      </c>
      <c r="G18" s="16">
        <f>SUMIFS('Presupuesto Detallado Medio'!$I$7:$I$40,'Presupuesto Detallado Medio'!$D$7:$D$40,$C18)</f>
        <v>300000</v>
      </c>
      <c r="H18" s="1"/>
      <c r="I18" s="1"/>
      <c r="J18" s="1"/>
      <c r="K18" s="1"/>
      <c r="L18" s="1"/>
      <c r="M18" s="1"/>
      <c r="N18" s="1"/>
      <c r="O18" s="1"/>
      <c r="P18" s="1"/>
      <c r="Q18" s="1"/>
      <c r="R18" s="1"/>
      <c r="S18" s="1"/>
      <c r="T18" s="1"/>
      <c r="U18" s="1"/>
      <c r="V18" s="1"/>
      <c r="W18" s="1"/>
      <c r="X18" s="1"/>
      <c r="Y18" s="1"/>
      <c r="Z18" s="1"/>
    </row>
    <row r="19" ht="14.25" customHeight="1">
      <c r="A19" s="1"/>
      <c r="B19" s="13"/>
      <c r="C19" s="17" t="s">
        <v>25</v>
      </c>
      <c r="D19" s="13"/>
      <c r="E19" s="13" t="str">
        <f>VLOOKUP(C19,Datos!$B$8:$E$21,3,)</f>
        <v>Cantidad</v>
      </c>
      <c r="F19" s="16">
        <f>VLOOKUP(C19,Datos!$B$8:$G$29,5,FALSE())</f>
        <v>200000</v>
      </c>
      <c r="G19" s="16">
        <f>SUMIFS('Presupuesto Detallado Medio'!$I$7:$I$40,'Presupuesto Detallado Medio'!$D$7:$D$40,$C19)</f>
        <v>200000</v>
      </c>
      <c r="H19" s="1"/>
      <c r="I19" s="1"/>
      <c r="J19" s="1"/>
      <c r="K19" s="1"/>
      <c r="L19" s="1"/>
      <c r="M19" s="1"/>
      <c r="N19" s="1"/>
      <c r="O19" s="1"/>
      <c r="P19" s="1"/>
      <c r="Q19" s="1"/>
      <c r="R19" s="1"/>
      <c r="S19" s="1"/>
      <c r="T19" s="1"/>
      <c r="U19" s="1"/>
      <c r="V19" s="1"/>
      <c r="W19" s="1"/>
      <c r="X19" s="1"/>
      <c r="Y19" s="1"/>
      <c r="Z19" s="1"/>
    </row>
    <row r="20" ht="14.25" customHeight="1">
      <c r="A20" s="1"/>
      <c r="B20" s="13"/>
      <c r="C20" s="17" t="s">
        <v>77</v>
      </c>
      <c r="D20" s="13"/>
      <c r="E20" s="13" t="str">
        <f>VLOOKUP(C20,Datos!$B$8:$E$21,3,)</f>
        <v>Cantidad</v>
      </c>
      <c r="F20" s="16">
        <f>VLOOKUP(C20,Datos!$B$8:$G$29,5,FALSE())</f>
        <v>250000</v>
      </c>
      <c r="G20" s="16">
        <f>SUMIFS('Presupuesto Detallado Medio'!$I$7:$I$40,'Presupuesto Detallado Medio'!$D$7:$D$40,$C20)</f>
        <v>250000</v>
      </c>
      <c r="H20" s="1"/>
      <c r="I20" s="1"/>
      <c r="J20" s="1"/>
      <c r="K20" s="1"/>
      <c r="L20" s="1"/>
      <c r="M20" s="1"/>
      <c r="N20" s="1"/>
      <c r="O20" s="1"/>
      <c r="P20" s="1"/>
      <c r="Q20" s="1"/>
      <c r="R20" s="1"/>
      <c r="S20" s="1"/>
      <c r="T20" s="1"/>
      <c r="U20" s="1"/>
      <c r="V20" s="1"/>
      <c r="W20" s="1"/>
      <c r="X20" s="1"/>
      <c r="Y20" s="1"/>
      <c r="Z20" s="1"/>
    </row>
    <row r="21" ht="14.25" customHeight="1">
      <c r="A21" s="1"/>
      <c r="B21" s="13" t="s">
        <v>26</v>
      </c>
      <c r="C21" s="13"/>
      <c r="D21" s="13"/>
      <c r="E21" s="13"/>
      <c r="F21" s="14"/>
      <c r="G21" s="16">
        <f>G22</f>
        <v>200000</v>
      </c>
      <c r="H21" s="1"/>
      <c r="I21" s="1"/>
      <c r="J21" s="1"/>
      <c r="K21" s="1"/>
      <c r="L21" s="1"/>
      <c r="M21" s="1"/>
      <c r="N21" s="1"/>
      <c r="O21" s="1"/>
      <c r="P21" s="1"/>
      <c r="Q21" s="1"/>
      <c r="R21" s="1"/>
      <c r="S21" s="1"/>
      <c r="T21" s="1"/>
      <c r="U21" s="1"/>
      <c r="V21" s="1"/>
      <c r="W21" s="1"/>
      <c r="X21" s="1"/>
      <c r="Y21" s="1"/>
      <c r="Z21" s="1"/>
    </row>
    <row r="22" ht="14.25" customHeight="1">
      <c r="A22" s="1"/>
      <c r="B22" s="13"/>
      <c r="C22" s="17" t="s">
        <v>27</v>
      </c>
      <c r="D22" s="13"/>
      <c r="E22" s="13" t="str">
        <f>VLOOKUP(C22,Datos!$B$8:$E$21,3,)</f>
        <v>Cantidad</v>
      </c>
      <c r="F22" s="16">
        <f>VLOOKUP(C22,Datos!$B$8:$G$29,5,FALSE())</f>
        <v>200000</v>
      </c>
      <c r="G22" s="16">
        <f>SUMIFS('Presupuesto Detallado Medio'!$I$7:$I$40,'Presupuesto Detallado Medio'!$D$7:$D$40,$C22)</f>
        <v>200000</v>
      </c>
      <c r="H22" s="1"/>
      <c r="I22" s="1"/>
      <c r="J22" s="1"/>
      <c r="K22" s="1"/>
      <c r="L22" s="1"/>
      <c r="M22" s="1"/>
      <c r="N22" s="1"/>
      <c r="O22" s="1"/>
      <c r="P22" s="1"/>
      <c r="Q22" s="1"/>
      <c r="R22" s="1"/>
      <c r="S22" s="1"/>
      <c r="T22" s="1"/>
      <c r="U22" s="1"/>
      <c r="V22" s="1"/>
      <c r="W22" s="1"/>
      <c r="X22" s="1"/>
      <c r="Y22" s="1"/>
      <c r="Z22" s="1"/>
    </row>
    <row r="23" ht="14.25" customHeight="1">
      <c r="A23" s="1"/>
      <c r="B23" s="18" t="s">
        <v>28</v>
      </c>
      <c r="C23" s="13"/>
      <c r="D23" s="13"/>
      <c r="E23" s="13"/>
      <c r="F23" s="14"/>
      <c r="G23" s="16">
        <f>G24+G25+G26</f>
        <v>600000</v>
      </c>
      <c r="H23" s="1"/>
      <c r="I23" s="1"/>
      <c r="J23" s="1"/>
      <c r="K23" s="1"/>
      <c r="L23" s="1"/>
      <c r="M23" s="1"/>
      <c r="N23" s="1"/>
      <c r="O23" s="1"/>
      <c r="P23" s="1"/>
      <c r="Q23" s="1"/>
      <c r="R23" s="1"/>
      <c r="S23" s="1"/>
      <c r="T23" s="1"/>
      <c r="U23" s="1"/>
      <c r="V23" s="1"/>
      <c r="W23" s="1"/>
      <c r="X23" s="1"/>
      <c r="Y23" s="1"/>
      <c r="Z23" s="1"/>
    </row>
    <row r="24" ht="14.25" customHeight="1">
      <c r="A24" s="1"/>
      <c r="B24" s="1"/>
      <c r="C24" s="18" t="s">
        <v>29</v>
      </c>
      <c r="D24" s="13"/>
      <c r="E24" s="13" t="str">
        <f>VLOOKUP(C24,Datos!$B$8:$G$29,3,FALSE())</f>
        <v>Cantidad</v>
      </c>
      <c r="F24" s="16">
        <f>VLOOKUP(C24,Datos!$B$8:$G$29,5,FALSE())</f>
        <v>150000</v>
      </c>
      <c r="G24" s="16">
        <f>SUMIFS('Presupuesto Detallado Medio'!$I$7:$I$40,'Presupuesto Detallado Medio'!$D$7:$D$40,$C24)</f>
        <v>150000</v>
      </c>
      <c r="H24" s="1"/>
      <c r="I24" s="1"/>
      <c r="J24" s="1"/>
      <c r="K24" s="1"/>
      <c r="L24" s="1"/>
      <c r="M24" s="1"/>
      <c r="N24" s="1"/>
      <c r="O24" s="1"/>
      <c r="P24" s="1"/>
      <c r="Q24" s="1"/>
      <c r="R24" s="1"/>
      <c r="S24" s="1"/>
      <c r="T24" s="1"/>
      <c r="U24" s="1"/>
      <c r="V24" s="1"/>
      <c r="W24" s="1"/>
      <c r="X24" s="1"/>
      <c r="Y24" s="1"/>
      <c r="Z24" s="1"/>
    </row>
    <row r="25" ht="14.25" customHeight="1">
      <c r="A25" s="1"/>
      <c r="B25" s="13"/>
      <c r="C25" s="17" t="s">
        <v>30</v>
      </c>
      <c r="D25" s="13"/>
      <c r="E25" s="13" t="str">
        <f>VLOOKUP(C25,Datos!$B$8:$G$29,3,FALSE())</f>
        <v>Cantidad</v>
      </c>
      <c r="F25" s="16">
        <f>VLOOKUP(C25,Datos!$B$8:$G$29,5,FALSE())</f>
        <v>300000</v>
      </c>
      <c r="G25" s="16">
        <f>SUMIFS('Presupuesto Detallado Medio'!$I$7:$I$40,'Presupuesto Detallado Medio'!$D$7:$D$40,$C25)</f>
        <v>300000</v>
      </c>
      <c r="H25" s="1"/>
      <c r="I25" s="1"/>
      <c r="J25" s="1"/>
      <c r="K25" s="1"/>
      <c r="L25" s="1"/>
      <c r="M25" s="1"/>
      <c r="N25" s="1"/>
      <c r="O25" s="1"/>
      <c r="P25" s="1"/>
      <c r="Q25" s="1"/>
      <c r="R25" s="1"/>
      <c r="S25" s="1"/>
      <c r="T25" s="1"/>
      <c r="U25" s="1"/>
      <c r="V25" s="1"/>
      <c r="W25" s="1"/>
      <c r="X25" s="1"/>
      <c r="Y25" s="1"/>
      <c r="Z25" s="1"/>
    </row>
    <row r="26" ht="14.25" customHeight="1">
      <c r="A26" s="1"/>
      <c r="B26" s="13"/>
      <c r="C26" s="17" t="s">
        <v>31</v>
      </c>
      <c r="D26" s="13"/>
      <c r="E26" s="13" t="str">
        <f>VLOOKUP(C26,Datos!$B$8:$G$29,3,FALSE())</f>
        <v>Cantidad</v>
      </c>
      <c r="F26" s="16">
        <f>VLOOKUP(C26,Datos!$B$8:$G$29,5,FALSE())</f>
        <v>150000</v>
      </c>
      <c r="G26" s="16">
        <f>SUMIFS('Presupuesto Detallado Medio'!$I$7:$I$40,'Presupuesto Detallado Medio'!$D$7:$D$40,$C26)</f>
        <v>150000</v>
      </c>
      <c r="H26" s="1"/>
      <c r="I26" s="1"/>
      <c r="J26" s="1"/>
      <c r="K26" s="1"/>
      <c r="L26" s="1"/>
      <c r="M26" s="1"/>
      <c r="N26" s="1"/>
      <c r="O26" s="1"/>
      <c r="P26" s="1"/>
      <c r="Q26" s="1"/>
      <c r="R26" s="1"/>
      <c r="S26" s="1"/>
      <c r="T26" s="1"/>
      <c r="U26" s="1"/>
      <c r="V26" s="1"/>
      <c r="W26" s="1"/>
      <c r="X26" s="1"/>
      <c r="Y26" s="1"/>
      <c r="Z26" s="1"/>
    </row>
    <row r="27" ht="14.25" customHeight="1">
      <c r="A27" s="1"/>
      <c r="B27" s="11" t="s">
        <v>32</v>
      </c>
      <c r="C27" s="11"/>
      <c r="D27" s="11"/>
      <c r="E27" s="11"/>
      <c r="F27" s="12"/>
      <c r="G27" s="40">
        <f>G28+G29</f>
        <v>1020000</v>
      </c>
      <c r="H27" s="1"/>
      <c r="I27" s="1"/>
      <c r="J27" s="1"/>
      <c r="K27" s="1"/>
      <c r="L27" s="1"/>
      <c r="M27" s="1"/>
      <c r="N27" s="1"/>
      <c r="O27" s="1"/>
      <c r="P27" s="1"/>
      <c r="Q27" s="1"/>
      <c r="R27" s="1"/>
      <c r="S27" s="1"/>
      <c r="T27" s="1"/>
      <c r="U27" s="1"/>
      <c r="V27" s="1"/>
      <c r="W27" s="1"/>
      <c r="X27" s="1"/>
      <c r="Y27" s="1"/>
      <c r="Z27" s="1"/>
    </row>
    <row r="28" ht="14.25" customHeight="1">
      <c r="A28" s="1"/>
      <c r="B28" s="13"/>
      <c r="C28" s="18" t="s">
        <v>33</v>
      </c>
      <c r="D28" s="13"/>
      <c r="E28" s="13" t="str">
        <f>VLOOKUP(C28,Datos!$B$8:$G$29,3,FALSE())</f>
        <v>Meses</v>
      </c>
      <c r="F28" s="16">
        <f>VLOOKUP(C28,Datos!$B$8:$G$29,5,FALSE())</f>
        <v>120000</v>
      </c>
      <c r="G28" s="16">
        <f>SUMIFS('Presupuesto Detallado Medio'!$I$7:$I$40,'Presupuesto Detallado Medio'!$D$7:$D$40,$C28)</f>
        <v>720000</v>
      </c>
      <c r="H28" s="1"/>
      <c r="I28" s="1"/>
      <c r="J28" s="1"/>
      <c r="K28" s="1"/>
      <c r="L28" s="1"/>
      <c r="M28" s="1"/>
      <c r="N28" s="1"/>
      <c r="O28" s="1"/>
      <c r="P28" s="1"/>
      <c r="Q28" s="1"/>
      <c r="R28" s="1"/>
      <c r="S28" s="1"/>
      <c r="T28" s="1"/>
      <c r="U28" s="1"/>
      <c r="V28" s="1"/>
      <c r="W28" s="1"/>
      <c r="X28" s="1"/>
      <c r="Y28" s="1"/>
      <c r="Z28" s="1"/>
    </row>
    <row r="29" ht="14.25" customHeight="1">
      <c r="A29" s="1"/>
      <c r="B29" s="13"/>
      <c r="C29" s="17" t="s">
        <v>34</v>
      </c>
      <c r="D29" s="13"/>
      <c r="E29" s="13" t="str">
        <f>VLOOKUP(C29,Datos!$B$8:$G$29,3,FALSE())</f>
        <v>Meses</v>
      </c>
      <c r="F29" s="16">
        <f>VLOOKUP(C29,Datos!$B$8:$G$29,5,FALSE())</f>
        <v>50000</v>
      </c>
      <c r="G29" s="16">
        <f>SUMIFS('Presupuesto Detallado Medio'!$I$7:$I$40,'Presupuesto Detallado Medio'!$D$7:$D$40,$C29)</f>
        <v>300000</v>
      </c>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9" t="s">
        <v>35</v>
      </c>
      <c r="C32" s="11"/>
      <c r="D32" s="11"/>
      <c r="E32" s="11"/>
      <c r="F32" s="11"/>
      <c r="G32" s="20"/>
      <c r="H32" s="1"/>
      <c r="I32" s="1"/>
      <c r="J32" s="1"/>
      <c r="K32" s="1"/>
      <c r="L32" s="1"/>
      <c r="M32" s="1"/>
      <c r="N32" s="1"/>
      <c r="O32" s="1"/>
      <c r="P32" s="1"/>
      <c r="Q32" s="1"/>
      <c r="R32" s="1"/>
      <c r="S32" s="1"/>
      <c r="T32" s="1"/>
      <c r="U32" s="1"/>
      <c r="V32" s="1"/>
      <c r="W32" s="1"/>
      <c r="X32" s="1"/>
      <c r="Y32" s="1"/>
      <c r="Z32" s="1"/>
    </row>
    <row r="33" ht="14.25" customHeight="1">
      <c r="A33" s="1"/>
      <c r="B33" s="1"/>
      <c r="C33" s="21" t="s">
        <v>36</v>
      </c>
      <c r="D33" s="21" t="s">
        <v>37</v>
      </c>
      <c r="E33" s="21" t="s">
        <v>5</v>
      </c>
      <c r="F33" s="21" t="s">
        <v>38</v>
      </c>
      <c r="G33" s="1"/>
      <c r="H33" s="1"/>
      <c r="I33" s="1"/>
      <c r="J33" s="1"/>
      <c r="K33" s="1"/>
      <c r="L33" s="1"/>
      <c r="M33" s="1"/>
      <c r="N33" s="1"/>
      <c r="O33" s="1"/>
      <c r="P33" s="1"/>
      <c r="Q33" s="1"/>
      <c r="R33" s="1"/>
      <c r="S33" s="1"/>
      <c r="T33" s="1"/>
      <c r="U33" s="1"/>
      <c r="V33" s="1"/>
      <c r="W33" s="1"/>
      <c r="X33" s="1"/>
      <c r="Y33" s="1"/>
      <c r="Z33" s="1"/>
    </row>
    <row r="34" ht="14.25" customHeight="1">
      <c r="A34" s="1"/>
      <c r="B34" s="1"/>
      <c r="C34" s="22" t="s">
        <v>39</v>
      </c>
      <c r="D34" s="23">
        <f>(F9+F10+F11+F12+F13)*6</f>
        <v>19200000</v>
      </c>
      <c r="E34" s="23">
        <f>'Presupuesto Detallado Medio'!I20+'Presupuesto Detallado Medio'!I34</f>
        <v>19200000</v>
      </c>
      <c r="F34" s="23">
        <f t="shared" ref="F34:F38" si="1">E34-D34</f>
        <v>0</v>
      </c>
      <c r="G34" s="1"/>
      <c r="H34" s="1"/>
      <c r="I34" s="1"/>
      <c r="J34" s="1"/>
      <c r="K34" s="1"/>
      <c r="L34" s="1"/>
      <c r="M34" s="1"/>
      <c r="N34" s="1"/>
      <c r="O34" s="1"/>
      <c r="P34" s="1"/>
      <c r="Q34" s="1"/>
      <c r="R34" s="1"/>
      <c r="S34" s="1"/>
      <c r="T34" s="1"/>
      <c r="U34" s="1"/>
      <c r="V34" s="1"/>
      <c r="W34" s="1"/>
      <c r="X34" s="1"/>
      <c r="Y34" s="1"/>
      <c r="Z34" s="1"/>
    </row>
    <row r="35" ht="14.25" customHeight="1">
      <c r="A35" s="1"/>
      <c r="B35" s="1"/>
      <c r="C35" s="22" t="s">
        <v>40</v>
      </c>
      <c r="D35" s="24">
        <v>3120000.0</v>
      </c>
      <c r="E35" s="23">
        <f>'Presupuesto Detallado Medio'!I38</f>
        <v>1020000</v>
      </c>
      <c r="F35" s="23">
        <f t="shared" si="1"/>
        <v>-2100000</v>
      </c>
      <c r="G35" s="1"/>
      <c r="H35" s="1"/>
      <c r="I35" s="1"/>
      <c r="J35" s="1"/>
      <c r="K35" s="1"/>
      <c r="L35" s="1"/>
      <c r="M35" s="1"/>
      <c r="N35" s="1"/>
      <c r="O35" s="1"/>
      <c r="P35" s="1"/>
      <c r="Q35" s="1"/>
      <c r="R35" s="1"/>
      <c r="S35" s="1"/>
      <c r="T35" s="1"/>
      <c r="U35" s="1"/>
      <c r="V35" s="1"/>
      <c r="W35" s="1"/>
      <c r="X35" s="1"/>
      <c r="Y35" s="1"/>
      <c r="Z35" s="1"/>
    </row>
    <row r="36" ht="14.25" customHeight="1">
      <c r="A36" s="1"/>
      <c r="B36" s="1"/>
      <c r="C36" s="22" t="s">
        <v>41</v>
      </c>
      <c r="D36" s="24">
        <v>1400000.0</v>
      </c>
      <c r="E36" s="23">
        <f>'Presupuesto Detallado Medio'!I14+'Presupuesto Detallado Medio'!I25</f>
        <v>1400000</v>
      </c>
      <c r="F36" s="23">
        <f t="shared" si="1"/>
        <v>0</v>
      </c>
      <c r="G36" s="1"/>
      <c r="H36" s="1"/>
      <c r="I36" s="1"/>
      <c r="J36" s="1"/>
      <c r="K36" s="1"/>
      <c r="L36" s="1"/>
      <c r="M36" s="1"/>
      <c r="N36" s="1"/>
      <c r="O36" s="1"/>
      <c r="P36" s="1"/>
      <c r="Q36" s="1"/>
      <c r="R36" s="1"/>
      <c r="S36" s="1"/>
      <c r="T36" s="1"/>
      <c r="U36" s="1"/>
      <c r="V36" s="1"/>
      <c r="W36" s="1"/>
      <c r="X36" s="1"/>
      <c r="Y36" s="1"/>
      <c r="Z36" s="1"/>
    </row>
    <row r="37" ht="14.25" customHeight="1">
      <c r="A37" s="1"/>
      <c r="B37" s="1"/>
      <c r="C37" s="22" t="s">
        <v>42</v>
      </c>
      <c r="D37" s="24">
        <v>1000000.0</v>
      </c>
      <c r="E37" s="23">
        <f>'Presupuesto Detallado Medio'!I8</f>
        <v>1000000</v>
      </c>
      <c r="F37" s="23">
        <f t="shared" si="1"/>
        <v>0</v>
      </c>
      <c r="G37" s="1"/>
      <c r="H37" s="1"/>
      <c r="I37" s="1"/>
      <c r="J37" s="1"/>
      <c r="K37" s="1"/>
      <c r="L37" s="1"/>
      <c r="M37" s="1"/>
      <c r="N37" s="1"/>
      <c r="O37" s="1"/>
      <c r="P37" s="1"/>
      <c r="Q37" s="1"/>
      <c r="R37" s="1"/>
      <c r="S37" s="1"/>
      <c r="T37" s="1"/>
      <c r="U37" s="1"/>
      <c r="V37" s="1"/>
      <c r="W37" s="1"/>
      <c r="X37" s="1"/>
      <c r="Y37" s="1"/>
      <c r="Z37" s="1"/>
    </row>
    <row r="38" ht="14.25" customHeight="1">
      <c r="A38" s="1"/>
      <c r="B38" s="1"/>
      <c r="C38" s="22" t="s">
        <v>43</v>
      </c>
      <c r="D38" s="24">
        <v>1280000.0</v>
      </c>
      <c r="E38" s="23">
        <f>'Presupuesto Detallado Medio'!H4</f>
        <v>1280000</v>
      </c>
      <c r="F38" s="23">
        <f t="shared" si="1"/>
        <v>0</v>
      </c>
      <c r="G38" s="1"/>
      <c r="H38" s="1"/>
      <c r="I38" s="1"/>
      <c r="J38" s="1"/>
      <c r="K38" s="1"/>
      <c r="L38" s="1"/>
      <c r="M38" s="1"/>
      <c r="N38" s="1"/>
      <c r="O38" s="1"/>
      <c r="P38" s="1"/>
      <c r="Q38" s="1"/>
      <c r="R38" s="1"/>
      <c r="S38" s="1"/>
      <c r="T38" s="1"/>
      <c r="U38" s="1"/>
      <c r="V38" s="1"/>
      <c r="W38" s="1"/>
      <c r="X38" s="1"/>
      <c r="Y38" s="1"/>
      <c r="Z38" s="1"/>
    </row>
    <row r="39" ht="14.25" customHeight="1">
      <c r="A39" s="1"/>
      <c r="B39" s="19"/>
      <c r="C39" s="19" t="s">
        <v>44</v>
      </c>
      <c r="D39" s="12">
        <f>D34+D35+D36+D37+D38</f>
        <v>26000000</v>
      </c>
      <c r="E39" s="12">
        <f t="shared" ref="E39:F39" si="2">SUM(E34:E38)</f>
        <v>23900000</v>
      </c>
      <c r="F39" s="12">
        <f t="shared" si="2"/>
        <v>-2100000</v>
      </c>
      <c r="G39" s="20"/>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printOptions/>
  <pageMargins bottom="0.7480314960629921" footer="0.0" header="0.0" left="0.7086614173228347" right="0.7086614173228347" top="0.7480314960629921"/>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7.86"/>
    <col customWidth="1" min="3" max="3" width="16.43"/>
    <col customWidth="1" min="4" max="4" width="27.0"/>
    <col customWidth="1" min="5" max="5" width="16.29"/>
    <col customWidth="1" min="6" max="6" width="18.0"/>
    <col customWidth="1" min="7" max="7" width="14.57"/>
    <col customWidth="1" min="8" max="8" width="13.29"/>
    <col customWidth="1" min="9" max="9" width="13.14"/>
    <col customWidth="1" min="10" max="26" width="11.43"/>
  </cols>
  <sheetData>
    <row r="1" ht="14.25" customHeight="1">
      <c r="A1" s="1"/>
      <c r="B1" s="2" t="s">
        <v>75</v>
      </c>
      <c r="C1" s="1"/>
      <c r="D1" s="1"/>
      <c r="E1" s="1"/>
      <c r="F1" s="1"/>
      <c r="G1" s="3" t="s">
        <v>1</v>
      </c>
      <c r="H1" s="1"/>
      <c r="I1" s="1"/>
      <c r="J1" s="1"/>
      <c r="K1" s="1"/>
      <c r="L1" s="1"/>
      <c r="M1" s="1"/>
      <c r="N1" s="1"/>
      <c r="O1" s="1"/>
      <c r="P1" s="1"/>
      <c r="Q1" s="1"/>
      <c r="R1" s="1"/>
      <c r="S1" s="1"/>
      <c r="T1" s="1"/>
      <c r="U1" s="1"/>
      <c r="V1" s="1"/>
      <c r="W1" s="1"/>
      <c r="X1" s="1"/>
      <c r="Y1" s="1"/>
      <c r="Z1" s="1"/>
    </row>
    <row r="2" ht="14.25" customHeight="1">
      <c r="A2" s="1"/>
      <c r="B2" s="4" t="s">
        <v>2</v>
      </c>
      <c r="C2" s="1"/>
      <c r="D2" s="1"/>
      <c r="E2" s="1"/>
      <c r="F2" s="1"/>
      <c r="G2" s="1" t="s">
        <v>3</v>
      </c>
      <c r="H2" s="1"/>
      <c r="I2" s="25">
        <f>IF(G4=0,0,'Por Recursos Medio'!D38/G4)</f>
        <v>0.05658709107</v>
      </c>
      <c r="J2" s="1"/>
      <c r="K2" s="1"/>
      <c r="L2" s="1"/>
      <c r="M2" s="1"/>
      <c r="N2" s="1"/>
      <c r="O2" s="1"/>
      <c r="P2" s="1"/>
      <c r="Q2" s="1"/>
      <c r="R2" s="1"/>
      <c r="S2" s="1"/>
      <c r="T2" s="1"/>
      <c r="U2" s="1"/>
      <c r="V2" s="1"/>
      <c r="W2" s="1"/>
      <c r="X2" s="1"/>
      <c r="Y2" s="1"/>
      <c r="Z2" s="1"/>
    </row>
    <row r="3" ht="15.75" customHeight="1">
      <c r="A3" s="1"/>
      <c r="B3" s="6" t="s">
        <v>4</v>
      </c>
      <c r="C3" s="1"/>
      <c r="D3" s="1"/>
      <c r="E3" s="7"/>
      <c r="F3" s="7"/>
      <c r="G3" s="8" t="s">
        <v>5</v>
      </c>
      <c r="H3" s="8" t="s">
        <v>6</v>
      </c>
      <c r="I3" s="8" t="s">
        <v>7</v>
      </c>
      <c r="J3" s="1"/>
      <c r="K3" s="1"/>
      <c r="L3" s="1"/>
      <c r="M3" s="1"/>
      <c r="N3" s="1"/>
      <c r="O3" s="1"/>
      <c r="P3" s="1"/>
      <c r="Q3" s="1"/>
      <c r="R3" s="1"/>
      <c r="S3" s="1"/>
      <c r="T3" s="1"/>
      <c r="U3" s="1"/>
      <c r="V3" s="1"/>
      <c r="W3" s="1"/>
      <c r="X3" s="1"/>
      <c r="Y3" s="1"/>
      <c r="Z3" s="1"/>
    </row>
    <row r="4" ht="15.0" customHeight="1">
      <c r="A4" s="1"/>
      <c r="B4" s="6" t="s">
        <v>8</v>
      </c>
      <c r="C4" s="1"/>
      <c r="D4" s="1"/>
      <c r="E4" s="9" t="s">
        <v>7</v>
      </c>
      <c r="F4" s="9"/>
      <c r="G4" s="10">
        <f>I7+I18+I33</f>
        <v>22620000</v>
      </c>
      <c r="H4" s="10">
        <f>G4*I2</f>
        <v>1280000</v>
      </c>
      <c r="I4" s="10">
        <f>SUM(G4:H4)</f>
        <v>23900000</v>
      </c>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26" t="s">
        <v>45</v>
      </c>
      <c r="C6" s="8" t="s">
        <v>46</v>
      </c>
      <c r="D6" s="8" t="s">
        <v>47</v>
      </c>
      <c r="E6" s="8" t="s">
        <v>48</v>
      </c>
      <c r="F6" s="8" t="s">
        <v>11</v>
      </c>
      <c r="G6" s="8" t="s">
        <v>49</v>
      </c>
      <c r="H6" s="8" t="s">
        <v>12</v>
      </c>
      <c r="I6" s="8" t="s">
        <v>5</v>
      </c>
      <c r="J6" s="1"/>
      <c r="K6" s="1"/>
      <c r="L6" s="1"/>
      <c r="M6" s="1"/>
      <c r="N6" s="1"/>
      <c r="O6" s="1"/>
      <c r="P6" s="1"/>
      <c r="Q6" s="1"/>
      <c r="R6" s="1"/>
      <c r="S6" s="1"/>
      <c r="T6" s="1"/>
      <c r="U6" s="1"/>
      <c r="V6" s="1"/>
      <c r="W6" s="1"/>
      <c r="X6" s="1"/>
      <c r="Y6" s="1"/>
      <c r="Z6" s="1"/>
    </row>
    <row r="7" ht="15.0" customHeight="1">
      <c r="A7" s="1"/>
      <c r="B7" s="11">
        <v>1.0</v>
      </c>
      <c r="C7" s="19" t="s">
        <v>50</v>
      </c>
      <c r="D7" s="27"/>
      <c r="E7" s="27"/>
      <c r="F7" s="27"/>
      <c r="G7" s="28"/>
      <c r="H7" s="29"/>
      <c r="I7" s="29">
        <f>I8+I14</f>
        <v>1400000</v>
      </c>
      <c r="J7" s="1"/>
      <c r="K7" s="1"/>
      <c r="L7" s="1"/>
      <c r="M7" s="1"/>
      <c r="N7" s="1"/>
      <c r="O7" s="1"/>
      <c r="P7" s="1"/>
      <c r="Q7" s="1"/>
      <c r="R7" s="1"/>
      <c r="S7" s="1"/>
      <c r="T7" s="1"/>
      <c r="U7" s="1"/>
      <c r="V7" s="1"/>
      <c r="W7" s="1"/>
      <c r="X7" s="1"/>
      <c r="Y7" s="1"/>
      <c r="Z7" s="1"/>
    </row>
    <row r="8" ht="14.25" customHeight="1">
      <c r="A8" s="1"/>
      <c r="B8" s="13" t="s">
        <v>51</v>
      </c>
      <c r="C8" s="17" t="s">
        <v>52</v>
      </c>
      <c r="D8" s="13"/>
      <c r="E8" s="13"/>
      <c r="F8" s="13"/>
      <c r="G8" s="30"/>
      <c r="H8" s="14"/>
      <c r="I8" s="14">
        <f>I9</f>
        <v>1000000</v>
      </c>
      <c r="J8" s="1"/>
      <c r="K8" s="1"/>
      <c r="L8" s="1"/>
      <c r="M8" s="1"/>
      <c r="N8" s="1"/>
      <c r="O8" s="1"/>
      <c r="P8" s="1"/>
      <c r="Q8" s="1"/>
      <c r="R8" s="1"/>
      <c r="S8" s="1"/>
      <c r="T8" s="1"/>
      <c r="U8" s="1"/>
      <c r="V8" s="1"/>
      <c r="W8" s="1"/>
      <c r="X8" s="1"/>
      <c r="Y8" s="1"/>
      <c r="Z8" s="1"/>
    </row>
    <row r="9" ht="14.25" customHeight="1">
      <c r="A9" s="1"/>
      <c r="B9" s="13" t="s">
        <v>53</v>
      </c>
      <c r="C9" s="17" t="s">
        <v>54</v>
      </c>
      <c r="D9" s="13"/>
      <c r="E9" s="13"/>
      <c r="F9" s="13"/>
      <c r="G9" s="30"/>
      <c r="H9" s="14" t="str">
        <f>VLOOKUP(D10,Datos!$B$8:$E$21,4,)</f>
        <v/>
      </c>
      <c r="I9" s="14">
        <f>SUM(I10:I13)</f>
        <v>1000000</v>
      </c>
      <c r="J9" s="1"/>
      <c r="K9" s="1"/>
      <c r="L9" s="1"/>
      <c r="M9" s="1"/>
      <c r="N9" s="1"/>
      <c r="O9" s="1"/>
      <c r="P9" s="1"/>
      <c r="Q9" s="1"/>
      <c r="R9" s="1"/>
      <c r="S9" s="1"/>
      <c r="T9" s="1"/>
      <c r="U9" s="1"/>
      <c r="V9" s="1"/>
      <c r="W9" s="1"/>
      <c r="X9" s="1"/>
      <c r="Y9" s="1"/>
      <c r="Z9" s="1"/>
    </row>
    <row r="10" ht="14.25" customHeight="1">
      <c r="A10" s="1"/>
      <c r="B10" s="13"/>
      <c r="C10" s="13"/>
      <c r="D10" s="18" t="s">
        <v>76</v>
      </c>
      <c r="E10" s="31" t="str">
        <f>VLOOKUP(D10,Datos!$B$8:$E$21,2,)</f>
        <v>Materiales</v>
      </c>
      <c r="F10" s="31" t="str">
        <f>VLOOKUP(D10,Datos!$B$8:$E$21,3,)</f>
        <v>Cantidad</v>
      </c>
      <c r="G10" s="32">
        <v>1.0</v>
      </c>
      <c r="H10" s="41">
        <f>VLOOKUP(D10,Datos!$B$8:$G$29,5,FALSE())</f>
        <v>500000</v>
      </c>
      <c r="I10" s="14">
        <f t="shared" ref="I10:I13" si="1">H10*G10</f>
        <v>500000</v>
      </c>
      <c r="J10" s="1"/>
      <c r="K10" s="1"/>
      <c r="L10" s="1"/>
      <c r="M10" s="1"/>
      <c r="N10" s="1"/>
      <c r="O10" s="1"/>
      <c r="P10" s="1"/>
      <c r="Q10" s="1"/>
      <c r="R10" s="1"/>
      <c r="S10" s="1"/>
      <c r="T10" s="1"/>
      <c r="U10" s="1"/>
      <c r="V10" s="1"/>
      <c r="W10" s="1"/>
      <c r="X10" s="1"/>
      <c r="Y10" s="1"/>
      <c r="Z10" s="1"/>
    </row>
    <row r="11" ht="14.25" customHeight="1">
      <c r="A11" s="1"/>
      <c r="B11" s="13"/>
      <c r="C11" s="13"/>
      <c r="D11" s="18" t="s">
        <v>22</v>
      </c>
      <c r="E11" s="31" t="str">
        <f>VLOOKUP(D11,Datos!$B$8:$E$21,2,)</f>
        <v>Materiales</v>
      </c>
      <c r="F11" s="31" t="str">
        <f>VLOOKUP(D11,Datos!$B$8:$E$21,3,)</f>
        <v>Cantidad</v>
      </c>
      <c r="G11" s="32">
        <v>1.0</v>
      </c>
      <c r="H11" s="41">
        <f>VLOOKUP(D11,Datos!$B$8:$G$29,5,FALSE())</f>
        <v>200000</v>
      </c>
      <c r="I11" s="14">
        <f t="shared" si="1"/>
        <v>200000</v>
      </c>
      <c r="J11" s="1"/>
      <c r="K11" s="1"/>
      <c r="L11" s="1"/>
      <c r="M11" s="1"/>
      <c r="N11" s="1"/>
      <c r="O11" s="1"/>
      <c r="P11" s="1"/>
      <c r="Q11" s="1"/>
      <c r="R11" s="1"/>
      <c r="S11" s="1"/>
      <c r="T11" s="1"/>
      <c r="U11" s="1"/>
      <c r="V11" s="1"/>
      <c r="W11" s="1"/>
      <c r="X11" s="1"/>
      <c r="Y11" s="1"/>
      <c r="Z11" s="1"/>
    </row>
    <row r="12" ht="14.25" customHeight="1">
      <c r="A12" s="1"/>
      <c r="B12" s="13"/>
      <c r="C12" s="13"/>
      <c r="D12" s="18" t="s">
        <v>23</v>
      </c>
      <c r="E12" s="31" t="str">
        <f>VLOOKUP(D12,Datos!$B$8:$G$29,2,FALSE())</f>
        <v>Materiales</v>
      </c>
      <c r="F12" s="31" t="str">
        <f>VLOOKUP(D12,Datos!$B$8:$G$29,3,FALSE())</f>
        <v>Cantidad</v>
      </c>
      <c r="G12" s="32">
        <v>1.0</v>
      </c>
      <c r="H12" s="41">
        <f>VLOOKUP(D12,Datos!$B$8:$G$29,5,FALSE())</f>
        <v>150000</v>
      </c>
      <c r="I12" s="14">
        <f t="shared" si="1"/>
        <v>150000</v>
      </c>
      <c r="J12" s="1"/>
      <c r="K12" s="1"/>
      <c r="L12" s="1"/>
      <c r="M12" s="1"/>
      <c r="N12" s="1"/>
      <c r="O12" s="1"/>
      <c r="P12" s="1"/>
      <c r="Q12" s="1"/>
      <c r="R12" s="1"/>
      <c r="S12" s="1"/>
      <c r="T12" s="1"/>
      <c r="U12" s="1"/>
      <c r="V12" s="1"/>
      <c r="W12" s="1"/>
      <c r="X12" s="1"/>
      <c r="Y12" s="1"/>
      <c r="Z12" s="1"/>
    </row>
    <row r="13" ht="14.25" customHeight="1">
      <c r="A13" s="1"/>
      <c r="B13" s="13"/>
      <c r="C13" s="13"/>
      <c r="D13" s="18" t="s">
        <v>29</v>
      </c>
      <c r="E13" s="31" t="str">
        <f>VLOOKUP(D13,Datos!$B$8:$G$29,2,FALSE())</f>
        <v>Servicios Técnicos</v>
      </c>
      <c r="F13" s="31" t="str">
        <f>VLOOKUP(D12,Datos!$B$8:$G$29,3,FALSE())</f>
        <v>Cantidad</v>
      </c>
      <c r="G13" s="32">
        <v>1.0</v>
      </c>
      <c r="H13" s="41">
        <f>VLOOKUP(D13,Datos!$B$8:$G$29,5,FALSE())</f>
        <v>150000</v>
      </c>
      <c r="I13" s="14">
        <f t="shared" si="1"/>
        <v>150000</v>
      </c>
      <c r="J13" s="1"/>
      <c r="K13" s="1"/>
      <c r="L13" s="1"/>
      <c r="M13" s="1"/>
      <c r="N13" s="1"/>
      <c r="O13" s="1"/>
      <c r="P13" s="1"/>
      <c r="Q13" s="1"/>
      <c r="R13" s="1"/>
      <c r="S13" s="1"/>
      <c r="T13" s="1"/>
      <c r="U13" s="1"/>
      <c r="V13" s="1"/>
      <c r="W13" s="1"/>
      <c r="X13" s="1"/>
      <c r="Y13" s="1"/>
      <c r="Z13" s="1"/>
    </row>
    <row r="14" ht="14.25" customHeight="1">
      <c r="A14" s="1"/>
      <c r="B14" s="36">
        <v>46054.0</v>
      </c>
      <c r="C14" s="17" t="s">
        <v>55</v>
      </c>
      <c r="D14" s="13"/>
      <c r="E14" s="13"/>
      <c r="F14" s="13"/>
      <c r="G14" s="30"/>
      <c r="H14" s="14"/>
      <c r="I14" s="14">
        <f>I15</f>
        <v>400000</v>
      </c>
      <c r="J14" s="1"/>
      <c r="K14" s="1"/>
      <c r="L14" s="1"/>
      <c r="M14" s="1"/>
      <c r="N14" s="1"/>
      <c r="O14" s="1"/>
      <c r="P14" s="1"/>
      <c r="Q14" s="1"/>
      <c r="R14" s="1"/>
      <c r="S14" s="1"/>
      <c r="T14" s="1"/>
      <c r="U14" s="1"/>
      <c r="V14" s="1"/>
      <c r="W14" s="1"/>
      <c r="X14" s="1"/>
      <c r="Y14" s="1"/>
      <c r="Z14" s="1"/>
    </row>
    <row r="15" ht="14.25" customHeight="1">
      <c r="A15" s="1"/>
      <c r="B15" s="37" t="s">
        <v>56</v>
      </c>
      <c r="C15" s="17" t="s">
        <v>57</v>
      </c>
      <c r="E15" s="31"/>
      <c r="F15" s="31"/>
      <c r="G15" s="30"/>
      <c r="H15" s="14"/>
      <c r="I15" s="14">
        <f>I16+I17</f>
        <v>400000</v>
      </c>
      <c r="J15" s="1"/>
      <c r="K15" s="1"/>
      <c r="L15" s="1"/>
      <c r="M15" s="1"/>
      <c r="N15" s="1"/>
      <c r="O15" s="1"/>
      <c r="P15" s="1"/>
      <c r="Q15" s="1"/>
      <c r="R15" s="1"/>
      <c r="S15" s="1"/>
      <c r="T15" s="1"/>
      <c r="U15" s="1"/>
      <c r="V15" s="1"/>
      <c r="W15" s="1"/>
      <c r="X15" s="1"/>
      <c r="Y15" s="1"/>
      <c r="Z15" s="1"/>
    </row>
    <row r="16" ht="14.25" customHeight="1">
      <c r="A16" s="1"/>
      <c r="B16" s="1"/>
      <c r="C16" s="13"/>
      <c r="D16" s="18" t="s">
        <v>27</v>
      </c>
      <c r="E16" s="31" t="str">
        <f>VLOOKUP(D16,Datos!$B$8:$E$21,2,)</f>
        <v>Licencias</v>
      </c>
      <c r="F16" s="31" t="str">
        <f>VLOOKUP(D16,Datos!$B$8:$E$21,3,)</f>
        <v>Cantidad</v>
      </c>
      <c r="G16" s="32">
        <v>1.0</v>
      </c>
      <c r="H16" s="14">
        <f>VLOOKUP(D16,Datos!$B$8:$G$29,5,FALSE())</f>
        <v>200000</v>
      </c>
      <c r="I16" s="14">
        <f t="shared" ref="I16:I17" si="2">G16*H16</f>
        <v>200000</v>
      </c>
      <c r="J16" s="1"/>
      <c r="K16" s="1"/>
      <c r="L16" s="1"/>
      <c r="M16" s="1"/>
      <c r="N16" s="1"/>
      <c r="O16" s="1"/>
      <c r="P16" s="1"/>
      <c r="Q16" s="1"/>
      <c r="R16" s="1"/>
      <c r="S16" s="1"/>
      <c r="T16" s="1"/>
      <c r="U16" s="1"/>
      <c r="V16" s="1"/>
      <c r="W16" s="1"/>
      <c r="X16" s="1"/>
      <c r="Y16" s="1"/>
      <c r="Z16" s="1"/>
    </row>
    <row r="17" ht="14.25" customHeight="1">
      <c r="A17" s="1"/>
      <c r="B17" s="1"/>
      <c r="C17" s="13"/>
      <c r="D17" s="17" t="s">
        <v>25</v>
      </c>
      <c r="E17" s="31" t="str">
        <f>VLOOKUP(D17,Datos!$B$8:$E$21,2,)</f>
        <v>Materiales</v>
      </c>
      <c r="F17" s="31" t="str">
        <f>VLOOKUP(D17,Datos!$B$8:$E$21,3,)</f>
        <v>Cantidad</v>
      </c>
      <c r="G17" s="32">
        <v>1.0</v>
      </c>
      <c r="H17" s="14">
        <f>VLOOKUP(D16,Datos!$B$8:$G$29,5,FALSE())</f>
        <v>200000</v>
      </c>
      <c r="I17" s="14">
        <f t="shared" si="2"/>
        <v>200000</v>
      </c>
      <c r="J17" s="1"/>
      <c r="K17" s="1"/>
      <c r="L17" s="1"/>
      <c r="M17" s="1"/>
      <c r="N17" s="1"/>
      <c r="O17" s="1"/>
      <c r="P17" s="1"/>
      <c r="Q17" s="1"/>
      <c r="R17" s="1"/>
      <c r="S17" s="1"/>
      <c r="T17" s="1"/>
      <c r="U17" s="1"/>
      <c r="V17" s="1"/>
      <c r="W17" s="1"/>
      <c r="X17" s="1"/>
      <c r="Y17" s="1"/>
      <c r="Z17" s="1"/>
    </row>
    <row r="18" ht="15.0" customHeight="1">
      <c r="A18" s="1"/>
      <c r="B18" s="11">
        <v>2.0</v>
      </c>
      <c r="C18" s="19" t="s">
        <v>58</v>
      </c>
      <c r="D18" s="27"/>
      <c r="E18" s="27"/>
      <c r="F18" s="27"/>
      <c r="G18" s="28"/>
      <c r="H18" s="29"/>
      <c r="I18" s="29">
        <f>I19+I25</f>
        <v>18100000</v>
      </c>
      <c r="J18" s="1"/>
      <c r="K18" s="1"/>
      <c r="L18" s="1"/>
      <c r="M18" s="1"/>
      <c r="N18" s="1"/>
      <c r="O18" s="1"/>
      <c r="P18" s="1"/>
      <c r="Q18" s="1"/>
      <c r="R18" s="1"/>
      <c r="S18" s="1"/>
      <c r="T18" s="1"/>
      <c r="U18" s="1"/>
      <c r="V18" s="1"/>
      <c r="W18" s="1"/>
      <c r="X18" s="1"/>
      <c r="Y18" s="1"/>
      <c r="Z18" s="1"/>
    </row>
    <row r="19" ht="14.25" customHeight="1">
      <c r="A19" s="1"/>
      <c r="B19" s="13" t="s">
        <v>59</v>
      </c>
      <c r="C19" s="17" t="s">
        <v>60</v>
      </c>
      <c r="D19" s="13"/>
      <c r="E19" s="13"/>
      <c r="F19" s="13"/>
      <c r="G19" s="30"/>
      <c r="H19" s="14"/>
      <c r="I19" s="14">
        <f>I20</f>
        <v>17100000</v>
      </c>
      <c r="J19" s="1"/>
      <c r="K19" s="1"/>
      <c r="L19" s="1"/>
      <c r="M19" s="1"/>
      <c r="N19" s="1"/>
      <c r="O19" s="1"/>
      <c r="P19" s="1"/>
      <c r="Q19" s="1"/>
      <c r="R19" s="1"/>
      <c r="S19" s="1"/>
      <c r="T19" s="1"/>
      <c r="U19" s="1"/>
      <c r="V19" s="1"/>
      <c r="W19" s="1"/>
      <c r="X19" s="1"/>
      <c r="Y19" s="1"/>
      <c r="Z19" s="1"/>
    </row>
    <row r="20" ht="14.25" customHeight="1">
      <c r="A20" s="1"/>
      <c r="B20" s="13" t="s">
        <v>61</v>
      </c>
      <c r="C20" s="17" t="s">
        <v>62</v>
      </c>
      <c r="D20" s="13"/>
      <c r="E20" s="13"/>
      <c r="F20" s="13"/>
      <c r="G20" s="30"/>
      <c r="H20" s="14"/>
      <c r="I20" s="14">
        <f>SUM(I21:I24)</f>
        <v>17100000</v>
      </c>
      <c r="J20" s="1"/>
      <c r="K20" s="1"/>
      <c r="L20" s="1"/>
      <c r="M20" s="1"/>
      <c r="N20" s="1"/>
      <c r="O20" s="1"/>
      <c r="P20" s="1"/>
      <c r="Q20" s="1"/>
      <c r="R20" s="1"/>
      <c r="S20" s="1"/>
      <c r="T20" s="1"/>
      <c r="U20" s="1"/>
      <c r="V20" s="1"/>
      <c r="W20" s="1"/>
      <c r="X20" s="1"/>
      <c r="Y20" s="1"/>
      <c r="Z20" s="1"/>
    </row>
    <row r="21" ht="14.25" customHeight="1">
      <c r="A21" s="1"/>
      <c r="B21" s="13"/>
      <c r="C21" s="13"/>
      <c r="D21" s="18" t="s">
        <v>15</v>
      </c>
      <c r="E21" s="31" t="str">
        <f>VLOOKUP(D21,Datos!$B$8:$E$21,2,)</f>
        <v>Labor (Personal)</v>
      </c>
      <c r="F21" s="31" t="str">
        <f>VLOOKUP(D21,Datos!$B$8:$E$21,3,)</f>
        <v>Meses</v>
      </c>
      <c r="G21" s="32">
        <v>6.0</v>
      </c>
      <c r="H21" s="14">
        <f>VLOOKUP(D21,Datos!$B$8:$G$29,5,FALSE())</f>
        <v>700000</v>
      </c>
      <c r="I21" s="14">
        <f t="shared" ref="I21:I24" si="3">G21*H21</f>
        <v>4200000</v>
      </c>
      <c r="J21" s="1"/>
      <c r="K21" s="1"/>
      <c r="L21" s="1"/>
      <c r="M21" s="1"/>
      <c r="N21" s="1"/>
      <c r="O21" s="1"/>
      <c r="P21" s="1"/>
      <c r="Q21" s="1"/>
      <c r="R21" s="1"/>
      <c r="S21" s="1"/>
      <c r="T21" s="1"/>
      <c r="U21" s="1"/>
      <c r="V21" s="1"/>
      <c r="W21" s="1"/>
      <c r="X21" s="1"/>
      <c r="Y21" s="1"/>
      <c r="Z21" s="1"/>
    </row>
    <row r="22" ht="14.25" customHeight="1">
      <c r="A22" s="1"/>
      <c r="B22" s="13"/>
      <c r="C22" s="13"/>
      <c r="D22" s="18" t="s">
        <v>16</v>
      </c>
      <c r="E22" s="31" t="str">
        <f>VLOOKUP(D22,Datos!$B$8:$E$21,2,)</f>
        <v>Labor (Personal)</v>
      </c>
      <c r="F22" s="31" t="str">
        <f>VLOOKUP(D22,Datos!$B$8:$E$21,3,)</f>
        <v>Meses</v>
      </c>
      <c r="G22" s="32">
        <v>6.0</v>
      </c>
      <c r="H22" s="14">
        <f>VLOOKUP(D22,Datos!$B$8:$G$29,5,FALSE())</f>
        <v>750000</v>
      </c>
      <c r="I22" s="14">
        <f t="shared" si="3"/>
        <v>4500000</v>
      </c>
      <c r="J22" s="1"/>
      <c r="K22" s="1"/>
      <c r="L22" s="1"/>
      <c r="M22" s="1"/>
      <c r="N22" s="1"/>
      <c r="O22" s="1"/>
      <c r="P22" s="1"/>
      <c r="Q22" s="1"/>
      <c r="R22" s="1"/>
      <c r="S22" s="1"/>
      <c r="T22" s="1"/>
      <c r="U22" s="1"/>
      <c r="V22" s="1"/>
      <c r="W22" s="1"/>
      <c r="X22" s="1"/>
      <c r="Y22" s="1"/>
      <c r="Z22" s="1"/>
    </row>
    <row r="23" ht="14.25" customHeight="1">
      <c r="A23" s="1"/>
      <c r="B23" s="13"/>
      <c r="C23" s="13"/>
      <c r="D23" s="18" t="s">
        <v>17</v>
      </c>
      <c r="E23" s="31" t="str">
        <f>VLOOKUP(D23,Datos!$B$8:$E$21,2,)</f>
        <v>Labor (Personal)</v>
      </c>
      <c r="F23" s="31" t="str">
        <f>VLOOKUP(D23,Datos!$B$8:$E$21,3,)</f>
        <v>Meses</v>
      </c>
      <c r="G23" s="32">
        <v>6.0</v>
      </c>
      <c r="H23" s="14">
        <f>VLOOKUP(D23,Datos!$B$8:$G$29,5,FALSE())</f>
        <v>750000</v>
      </c>
      <c r="I23" s="14">
        <f t="shared" si="3"/>
        <v>4500000</v>
      </c>
      <c r="J23" s="1"/>
      <c r="K23" s="1"/>
      <c r="L23" s="1"/>
      <c r="M23" s="1"/>
      <c r="N23" s="1"/>
      <c r="O23" s="1"/>
      <c r="P23" s="1"/>
      <c r="Q23" s="1"/>
      <c r="R23" s="1"/>
      <c r="S23" s="1"/>
      <c r="T23" s="1"/>
      <c r="U23" s="1"/>
      <c r="V23" s="1"/>
      <c r="W23" s="1"/>
      <c r="X23" s="1"/>
      <c r="Y23" s="1"/>
      <c r="Z23" s="1"/>
    </row>
    <row r="24" ht="14.25" customHeight="1">
      <c r="A24" s="1"/>
      <c r="B24" s="13"/>
      <c r="C24" s="13"/>
      <c r="D24" s="18" t="s">
        <v>18</v>
      </c>
      <c r="E24" s="31" t="str">
        <f>VLOOKUP(D24,Datos!$B$8:$E$21,2,)</f>
        <v>Labor (Personal)</v>
      </c>
      <c r="F24" s="31" t="str">
        <f>VLOOKUP(D24,Datos!$B$8:$E$21,3,)</f>
        <v>Meses</v>
      </c>
      <c r="G24" s="32">
        <v>6.0</v>
      </c>
      <c r="H24" s="14">
        <f>VLOOKUP(D24,Datos!$B$8:$G$29,5,FALSE())</f>
        <v>650000</v>
      </c>
      <c r="I24" s="14">
        <f t="shared" si="3"/>
        <v>3900000</v>
      </c>
      <c r="J24" s="1"/>
      <c r="K24" s="1"/>
      <c r="L24" s="1"/>
      <c r="M24" s="1"/>
      <c r="N24" s="1"/>
      <c r="O24" s="1"/>
      <c r="P24" s="1"/>
      <c r="Q24" s="1"/>
      <c r="R24" s="1"/>
      <c r="S24" s="1"/>
      <c r="T24" s="1"/>
      <c r="U24" s="1"/>
      <c r="V24" s="1"/>
      <c r="W24" s="1"/>
      <c r="X24" s="1"/>
      <c r="Y24" s="1"/>
      <c r="Z24" s="1"/>
    </row>
    <row r="25" ht="14.25" customHeight="1">
      <c r="A25" s="1"/>
      <c r="B25" s="38">
        <v>46055.0</v>
      </c>
      <c r="C25" s="17" t="s">
        <v>63</v>
      </c>
      <c r="D25" s="13"/>
      <c r="E25" s="13"/>
      <c r="F25" s="13"/>
      <c r="G25" s="30"/>
      <c r="H25" s="14"/>
      <c r="I25" s="14">
        <f>I26+I29+I31</f>
        <v>1000000</v>
      </c>
      <c r="J25" s="1"/>
      <c r="K25" s="1"/>
      <c r="L25" s="1"/>
      <c r="M25" s="1"/>
      <c r="N25" s="1"/>
      <c r="O25" s="1"/>
      <c r="P25" s="1"/>
      <c r="Q25" s="1"/>
      <c r="R25" s="1"/>
      <c r="S25" s="1"/>
      <c r="T25" s="1"/>
      <c r="U25" s="1"/>
      <c r="V25" s="1"/>
      <c r="W25" s="1"/>
      <c r="X25" s="1"/>
      <c r="Y25" s="1"/>
      <c r="Z25" s="1"/>
    </row>
    <row r="26" ht="14.25" customHeight="1">
      <c r="A26" s="1"/>
      <c r="B26" s="39" t="s">
        <v>64</v>
      </c>
      <c r="C26" s="17" t="s">
        <v>65</v>
      </c>
      <c r="D26" s="13"/>
      <c r="E26" s="13"/>
      <c r="F26" s="13"/>
      <c r="G26" s="30"/>
      <c r="H26" s="14"/>
      <c r="I26" s="14">
        <f>I27+I28</f>
        <v>550000</v>
      </c>
      <c r="J26" s="1"/>
      <c r="K26" s="1"/>
      <c r="L26" s="1"/>
      <c r="M26" s="1"/>
      <c r="N26" s="1"/>
      <c r="O26" s="1"/>
      <c r="P26" s="1"/>
      <c r="Q26" s="1"/>
      <c r="R26" s="1"/>
      <c r="S26" s="1"/>
      <c r="T26" s="1"/>
      <c r="U26" s="1"/>
      <c r="V26" s="1"/>
      <c r="W26" s="1"/>
      <c r="X26" s="1"/>
      <c r="Y26" s="1"/>
      <c r="Z26" s="1"/>
    </row>
    <row r="27" ht="14.25" customHeight="1">
      <c r="A27" s="1"/>
      <c r="B27" s="13"/>
      <c r="C27" s="13"/>
      <c r="D27" s="18" t="s">
        <v>24</v>
      </c>
      <c r="E27" s="31" t="str">
        <f>VLOOKUP(D27,Datos!$B$8:$E$21,2,)</f>
        <v>Materiales</v>
      </c>
      <c r="F27" s="31" t="str">
        <f>VLOOKUP(D27,Datos!$B$8:$E$21,3,)</f>
        <v>Cantidad</v>
      </c>
      <c r="G27" s="32">
        <v>1.0</v>
      </c>
      <c r="H27" s="14">
        <f>VLOOKUP(D27,Datos!$B$8:$G$29,5,FALSE())</f>
        <v>300000</v>
      </c>
      <c r="I27" s="14">
        <f>G27*H27</f>
        <v>300000</v>
      </c>
      <c r="J27" s="1"/>
      <c r="K27" s="1"/>
      <c r="L27" s="1"/>
      <c r="M27" s="1"/>
      <c r="N27" s="1"/>
      <c r="O27" s="1"/>
      <c r="P27" s="1"/>
      <c r="Q27" s="1"/>
      <c r="R27" s="1"/>
      <c r="S27" s="1"/>
      <c r="T27" s="1"/>
      <c r="U27" s="1"/>
      <c r="V27" s="1"/>
      <c r="W27" s="1"/>
      <c r="X27" s="1"/>
      <c r="Y27" s="1"/>
      <c r="Z27" s="1"/>
    </row>
    <row r="28" ht="14.25" customHeight="1">
      <c r="A28" s="1"/>
      <c r="B28" s="13"/>
      <c r="C28" s="13"/>
      <c r="D28" s="18" t="s">
        <v>77</v>
      </c>
      <c r="E28" s="31" t="str">
        <f>VLOOKUP(D28,Datos!$B$8:$E$21,2,)</f>
        <v>Materiales</v>
      </c>
      <c r="F28" s="31" t="str">
        <f>VLOOKUP(D28,Datos!$B$8:$E$21,3,)</f>
        <v>Cantidad</v>
      </c>
      <c r="G28" s="32">
        <v>1.0</v>
      </c>
      <c r="H28" s="14">
        <f>VLOOKUP(D28,Datos!$B$8:$G$29,5,FALSE())</f>
        <v>250000</v>
      </c>
      <c r="I28" s="14">
        <f>H28*G28</f>
        <v>250000</v>
      </c>
      <c r="J28" s="1"/>
      <c r="K28" s="1"/>
      <c r="L28" s="1"/>
      <c r="M28" s="1"/>
      <c r="N28" s="1"/>
      <c r="O28" s="1"/>
      <c r="P28" s="1"/>
      <c r="Q28" s="1"/>
      <c r="R28" s="1"/>
      <c r="S28" s="1"/>
      <c r="T28" s="1"/>
      <c r="U28" s="1"/>
      <c r="V28" s="1"/>
      <c r="W28" s="1"/>
      <c r="X28" s="1"/>
      <c r="Y28" s="1"/>
      <c r="Z28" s="1"/>
    </row>
    <row r="29" ht="14.25" customHeight="1">
      <c r="A29" s="1"/>
      <c r="B29" s="39" t="s">
        <v>66</v>
      </c>
      <c r="C29" s="17" t="s">
        <v>67</v>
      </c>
      <c r="D29" s="13"/>
      <c r="E29" s="13"/>
      <c r="F29" s="13"/>
      <c r="G29" s="30"/>
      <c r="H29" s="14"/>
      <c r="I29" s="14">
        <f>I30</f>
        <v>300000</v>
      </c>
      <c r="J29" s="1"/>
      <c r="K29" s="1"/>
      <c r="L29" s="1"/>
      <c r="M29" s="1"/>
      <c r="N29" s="1"/>
      <c r="O29" s="1"/>
      <c r="P29" s="1"/>
      <c r="Q29" s="1"/>
      <c r="R29" s="1"/>
      <c r="S29" s="1"/>
      <c r="T29" s="1"/>
      <c r="U29" s="1"/>
      <c r="V29" s="1"/>
      <c r="W29" s="1"/>
      <c r="X29" s="1"/>
      <c r="Y29" s="1"/>
      <c r="Z29" s="1"/>
    </row>
    <row r="30" ht="14.25" customHeight="1">
      <c r="A30" s="1"/>
      <c r="B30" s="13"/>
      <c r="C30" s="13"/>
      <c r="D30" s="18" t="s">
        <v>30</v>
      </c>
      <c r="E30" s="31" t="str">
        <f>VLOOKUP(D30,Datos!$B$8:$G$29,2,FALSE())</f>
        <v>Servicios Técnicos</v>
      </c>
      <c r="F30" s="31" t="str">
        <f>VLOOKUP(D30,Datos!$B$8:$G$29,3,FALSE())</f>
        <v>Cantidad</v>
      </c>
      <c r="G30" s="32">
        <v>1.0</v>
      </c>
      <c r="H30" s="14">
        <f>VLOOKUP(D30,Datos!$B$8:$G$29,5,FALSE())</f>
        <v>300000</v>
      </c>
      <c r="I30" s="14">
        <f>G30*H30</f>
        <v>300000</v>
      </c>
      <c r="J30" s="1"/>
      <c r="K30" s="1"/>
      <c r="L30" s="1"/>
      <c r="M30" s="1"/>
      <c r="N30" s="1"/>
      <c r="O30" s="1"/>
      <c r="P30" s="1"/>
      <c r="Q30" s="1"/>
      <c r="R30" s="1"/>
      <c r="S30" s="1"/>
      <c r="T30" s="1"/>
      <c r="U30" s="1"/>
      <c r="V30" s="1"/>
      <c r="W30" s="1"/>
      <c r="X30" s="1"/>
      <c r="Y30" s="1"/>
      <c r="Z30" s="1"/>
    </row>
    <row r="31" ht="14.25" customHeight="1">
      <c r="A31" s="1"/>
      <c r="B31" s="39" t="s">
        <v>68</v>
      </c>
      <c r="C31" s="17" t="s">
        <v>69</v>
      </c>
      <c r="D31" s="13"/>
      <c r="E31" s="13"/>
      <c r="F31" s="13"/>
      <c r="G31" s="30"/>
      <c r="H31" s="14"/>
      <c r="I31" s="14">
        <f>I32</f>
        <v>150000</v>
      </c>
      <c r="J31" s="1"/>
      <c r="K31" s="1"/>
      <c r="L31" s="1"/>
      <c r="M31" s="1"/>
      <c r="N31" s="1"/>
      <c r="O31" s="1"/>
      <c r="P31" s="1"/>
      <c r="Q31" s="1"/>
      <c r="R31" s="1"/>
      <c r="S31" s="1"/>
      <c r="T31" s="1"/>
      <c r="U31" s="1"/>
      <c r="V31" s="1"/>
      <c r="W31" s="1"/>
      <c r="X31" s="1"/>
      <c r="Y31" s="1"/>
      <c r="Z31" s="1"/>
    </row>
    <row r="32" ht="14.25" customHeight="1">
      <c r="A32" s="1"/>
      <c r="B32" s="13"/>
      <c r="C32" s="13"/>
      <c r="D32" s="18" t="s">
        <v>31</v>
      </c>
      <c r="E32" s="31" t="str">
        <f>VLOOKUP(D32,Datos!$B$8:$G$29,2,FALSE())</f>
        <v>Servicios Técnicos</v>
      </c>
      <c r="F32" s="31" t="str">
        <f>VLOOKUP(D32,Datos!$B$8:$G$29,3,FALSE())</f>
        <v>Cantidad</v>
      </c>
      <c r="G32" s="32">
        <v>1.0</v>
      </c>
      <c r="H32" s="14">
        <f>VLOOKUP(D32,Datos!$B$8:$G$29,5,FALSE())</f>
        <v>150000</v>
      </c>
      <c r="I32" s="14">
        <f>G32*H32</f>
        <v>150000</v>
      </c>
      <c r="J32" s="1"/>
      <c r="K32" s="1"/>
      <c r="L32" s="1"/>
      <c r="M32" s="1"/>
      <c r="N32" s="1"/>
      <c r="O32" s="1"/>
      <c r="P32" s="1"/>
      <c r="Q32" s="1"/>
      <c r="R32" s="1"/>
      <c r="S32" s="1"/>
      <c r="T32" s="1"/>
      <c r="U32" s="1"/>
      <c r="V32" s="1"/>
      <c r="W32" s="1"/>
      <c r="X32" s="1"/>
      <c r="Y32" s="1"/>
      <c r="Z32" s="1"/>
    </row>
    <row r="33" ht="14.25" customHeight="1">
      <c r="A33" s="1"/>
      <c r="B33" s="19">
        <v>3.0</v>
      </c>
      <c r="C33" s="19" t="s">
        <v>58</v>
      </c>
      <c r="D33" s="27"/>
      <c r="E33" s="27"/>
      <c r="F33" s="27"/>
      <c r="G33" s="28"/>
      <c r="H33" s="29"/>
      <c r="I33" s="29">
        <f>I34+I37</f>
        <v>3120000</v>
      </c>
      <c r="J33" s="1"/>
      <c r="K33" s="1"/>
      <c r="L33" s="1"/>
      <c r="M33" s="1"/>
      <c r="N33" s="1"/>
      <c r="O33" s="1"/>
      <c r="P33" s="1"/>
      <c r="Q33" s="1"/>
      <c r="R33" s="1"/>
      <c r="S33" s="1"/>
      <c r="T33" s="1"/>
      <c r="U33" s="1"/>
      <c r="V33" s="1"/>
      <c r="W33" s="1"/>
      <c r="X33" s="1"/>
      <c r="Y33" s="1"/>
      <c r="Z33" s="1"/>
    </row>
    <row r="34" ht="14.25" customHeight="1">
      <c r="A34" s="1"/>
      <c r="B34" s="38">
        <v>46025.0</v>
      </c>
      <c r="C34" s="17" t="s">
        <v>70</v>
      </c>
      <c r="D34" s="13"/>
      <c r="E34" s="13"/>
      <c r="F34" s="13"/>
      <c r="G34" s="30"/>
      <c r="H34" s="14"/>
      <c r="I34" s="14">
        <f>I35</f>
        <v>2100000</v>
      </c>
      <c r="J34" s="1"/>
      <c r="K34" s="1"/>
      <c r="L34" s="1"/>
      <c r="M34" s="1"/>
      <c r="N34" s="1"/>
      <c r="O34" s="1"/>
      <c r="P34" s="1"/>
      <c r="Q34" s="1"/>
      <c r="R34" s="1"/>
      <c r="S34" s="1"/>
      <c r="T34" s="1"/>
      <c r="U34" s="1"/>
      <c r="V34" s="1"/>
      <c r="W34" s="1"/>
      <c r="X34" s="1"/>
      <c r="Y34" s="1"/>
      <c r="Z34" s="1"/>
    </row>
    <row r="35" ht="14.25" customHeight="1">
      <c r="A35" s="1"/>
      <c r="B35" s="39" t="s">
        <v>71</v>
      </c>
      <c r="C35" s="17" t="s">
        <v>72</v>
      </c>
      <c r="D35" s="13"/>
      <c r="E35" s="13"/>
      <c r="F35" s="13"/>
      <c r="G35" s="30"/>
      <c r="H35" s="14"/>
      <c r="I35" s="14">
        <f>SUM(I36)</f>
        <v>2100000</v>
      </c>
      <c r="J35" s="1"/>
      <c r="K35" s="1"/>
      <c r="L35" s="1"/>
      <c r="M35" s="1"/>
      <c r="N35" s="1"/>
      <c r="O35" s="1"/>
      <c r="P35" s="1"/>
      <c r="Q35" s="1"/>
      <c r="R35" s="1"/>
      <c r="S35" s="1"/>
      <c r="T35" s="1"/>
      <c r="U35" s="1"/>
      <c r="V35" s="1"/>
      <c r="W35" s="1"/>
      <c r="X35" s="1"/>
      <c r="Y35" s="1"/>
      <c r="Z35" s="1"/>
    </row>
    <row r="36" ht="14.25" customHeight="1">
      <c r="A36" s="1"/>
      <c r="B36" s="13"/>
      <c r="C36" s="13"/>
      <c r="D36" s="18" t="s">
        <v>19</v>
      </c>
      <c r="E36" s="31" t="str">
        <f>VLOOKUP(D36,Datos!$B$8:$E$21,2,)</f>
        <v>Labor (Personal)</v>
      </c>
      <c r="F36" s="31" t="str">
        <f>VLOOKUP(D36,Datos!$B$8:$E$21,3,)</f>
        <v>Meses</v>
      </c>
      <c r="G36" s="32">
        <v>6.0</v>
      </c>
      <c r="H36" s="14">
        <f>VLOOKUP(D36,Datos!$B$8:$G$29,5,FALSE())</f>
        <v>350000</v>
      </c>
      <c r="I36" s="14">
        <f>G36*H36</f>
        <v>2100000</v>
      </c>
      <c r="J36" s="1"/>
      <c r="K36" s="1"/>
      <c r="L36" s="1"/>
      <c r="M36" s="1"/>
      <c r="N36" s="1"/>
      <c r="O36" s="1"/>
      <c r="P36" s="1"/>
      <c r="Q36" s="1"/>
      <c r="R36" s="1"/>
      <c r="S36" s="1"/>
      <c r="T36" s="1"/>
      <c r="U36" s="1"/>
      <c r="V36" s="1"/>
      <c r="W36" s="1"/>
      <c r="X36" s="1"/>
      <c r="Y36" s="1"/>
      <c r="Z36" s="1"/>
    </row>
    <row r="37" ht="14.25" customHeight="1">
      <c r="A37" s="1"/>
      <c r="B37" s="38">
        <v>46056.0</v>
      </c>
      <c r="C37" s="17" t="s">
        <v>40</v>
      </c>
      <c r="D37" s="13"/>
      <c r="E37" s="13"/>
      <c r="F37" s="13"/>
      <c r="G37" s="30"/>
      <c r="H37" s="14"/>
      <c r="I37" s="14">
        <f>I38</f>
        <v>1020000</v>
      </c>
      <c r="J37" s="1"/>
      <c r="K37" s="1"/>
      <c r="L37" s="1"/>
      <c r="M37" s="1"/>
      <c r="N37" s="1"/>
      <c r="O37" s="1"/>
      <c r="P37" s="1"/>
      <c r="Q37" s="1"/>
      <c r="R37" s="1"/>
      <c r="S37" s="1"/>
      <c r="T37" s="1"/>
      <c r="U37" s="1"/>
      <c r="V37" s="1"/>
      <c r="W37" s="1"/>
      <c r="X37" s="1"/>
      <c r="Y37" s="1"/>
      <c r="Z37" s="1"/>
    </row>
    <row r="38" ht="14.25" customHeight="1">
      <c r="A38" s="1"/>
      <c r="B38" s="39" t="s">
        <v>73</v>
      </c>
      <c r="C38" s="17" t="s">
        <v>74</v>
      </c>
      <c r="D38" s="13"/>
      <c r="E38" s="13"/>
      <c r="F38" s="13"/>
      <c r="G38" s="30"/>
      <c r="H38" s="14"/>
      <c r="I38" s="14">
        <f>+I39+I40</f>
        <v>1020000</v>
      </c>
      <c r="J38" s="1"/>
      <c r="K38" s="1"/>
      <c r="L38" s="1"/>
      <c r="M38" s="1"/>
      <c r="N38" s="1"/>
      <c r="O38" s="1"/>
      <c r="P38" s="1"/>
      <c r="Q38" s="1"/>
      <c r="R38" s="1"/>
      <c r="S38" s="1"/>
      <c r="T38" s="1"/>
      <c r="U38" s="1"/>
      <c r="V38" s="1"/>
      <c r="W38" s="1"/>
      <c r="X38" s="1"/>
      <c r="Y38" s="1"/>
      <c r="Z38" s="1"/>
    </row>
    <row r="39" ht="14.25" customHeight="1">
      <c r="A39" s="1"/>
      <c r="B39" s="39"/>
      <c r="C39" s="17"/>
      <c r="D39" s="18" t="s">
        <v>33</v>
      </c>
      <c r="E39" s="13" t="str">
        <f>VLOOKUP(D39,Datos!$B$8:$G$29,2,FALSE())</f>
        <v>Gastos Indirectos</v>
      </c>
      <c r="F39" s="13" t="str">
        <f>VLOOKUP(D39,Datos!$B$8:$G$29,3,FALSE())</f>
        <v>Meses</v>
      </c>
      <c r="G39" s="32">
        <v>6.0</v>
      </c>
      <c r="H39" s="14">
        <f>VLOOKUP(D39,Datos!$B$8:$G$29,5,FALSE())</f>
        <v>120000</v>
      </c>
      <c r="I39" s="14">
        <f t="shared" ref="I39:I40" si="4">H39*G39</f>
        <v>720000</v>
      </c>
      <c r="J39" s="1"/>
      <c r="K39" s="1"/>
      <c r="L39" s="1"/>
      <c r="M39" s="1"/>
      <c r="N39" s="1"/>
      <c r="O39" s="1"/>
      <c r="P39" s="1"/>
      <c r="Q39" s="1"/>
      <c r="R39" s="1"/>
      <c r="S39" s="1"/>
      <c r="T39" s="1"/>
      <c r="U39" s="1"/>
      <c r="V39" s="1"/>
      <c r="W39" s="1"/>
      <c r="X39" s="1"/>
      <c r="Y39" s="1"/>
      <c r="Z39" s="1"/>
    </row>
    <row r="40" ht="14.25" customHeight="1">
      <c r="A40" s="1"/>
      <c r="B40" s="39"/>
      <c r="C40" s="17"/>
      <c r="D40" s="18" t="s">
        <v>34</v>
      </c>
      <c r="E40" s="13" t="str">
        <f>VLOOKUP(D40,Datos!$B$8:$G$29,2,FALSE())</f>
        <v>Gastos Indirectos</v>
      </c>
      <c r="F40" s="13" t="str">
        <f>VLOOKUP(D40,Datos!$B$8:$G$29,3,FALSE())</f>
        <v>Meses</v>
      </c>
      <c r="G40" s="32">
        <v>6.0</v>
      </c>
      <c r="H40" s="14">
        <f>VLOOKUP(D40,Datos!$B$8:$G$29,5,FALSE())</f>
        <v>50000</v>
      </c>
      <c r="I40" s="14">
        <f t="shared" si="4"/>
        <v>300000</v>
      </c>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sheetData>
  <printOptions/>
  <pageMargins bottom="0.7480314960629921" footer="0.0" header="0.0" left="0.2362204724409449" right="0.2362204724409449" top="0.7480314960629921"/>
  <pageSetup fitToHeight="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35.71"/>
    <col customWidth="1" min="4" max="4" width="13.29"/>
    <col customWidth="1" min="5" max="5" width="19.0"/>
    <col customWidth="1" min="6" max="6" width="11.43"/>
    <col customWidth="1" min="7" max="7" width="21.29"/>
    <col customWidth="1" min="8" max="26" width="11.43"/>
  </cols>
  <sheetData>
    <row r="1" ht="14.25" customHeight="1">
      <c r="A1" s="1"/>
      <c r="B1" s="2" t="s">
        <v>78</v>
      </c>
      <c r="C1" s="1"/>
      <c r="D1" s="1"/>
      <c r="E1" s="1"/>
      <c r="F1" s="3" t="s">
        <v>1</v>
      </c>
      <c r="G1" s="1"/>
      <c r="H1" s="1"/>
      <c r="I1" s="1"/>
      <c r="J1" s="1"/>
      <c r="K1" s="1"/>
      <c r="L1" s="1"/>
      <c r="M1" s="1"/>
      <c r="N1" s="1"/>
      <c r="O1" s="1"/>
      <c r="P1" s="1"/>
      <c r="Q1" s="1"/>
      <c r="R1" s="1"/>
      <c r="S1" s="1"/>
      <c r="T1" s="1"/>
      <c r="U1" s="1"/>
      <c r="V1" s="1"/>
      <c r="W1" s="1"/>
      <c r="X1" s="1"/>
      <c r="Y1" s="1"/>
      <c r="Z1" s="1"/>
    </row>
    <row r="2" ht="14.25" customHeight="1">
      <c r="A2" s="1"/>
      <c r="B2" s="4" t="s">
        <v>2</v>
      </c>
      <c r="C2" s="1"/>
      <c r="D2" s="1"/>
      <c r="E2" s="1" t="s">
        <v>3</v>
      </c>
      <c r="F2" s="1"/>
      <c r="G2" s="5">
        <f>'Presupuesto Detallado Alto'!I2</f>
        <v>0.07973421927</v>
      </c>
      <c r="H2" s="1"/>
      <c r="I2" s="1"/>
      <c r="J2" s="1"/>
      <c r="K2" s="1"/>
      <c r="L2" s="1"/>
      <c r="M2" s="1"/>
      <c r="N2" s="1"/>
      <c r="O2" s="1"/>
      <c r="P2" s="1"/>
      <c r="Q2" s="1"/>
      <c r="R2" s="1"/>
      <c r="S2" s="1"/>
      <c r="T2" s="1"/>
      <c r="U2" s="1"/>
      <c r="V2" s="1"/>
      <c r="W2" s="1"/>
      <c r="X2" s="1"/>
      <c r="Y2" s="1"/>
      <c r="Z2" s="1"/>
    </row>
    <row r="3" ht="14.25" customHeight="1">
      <c r="A3" s="1"/>
      <c r="B3" s="6" t="s">
        <v>4</v>
      </c>
      <c r="C3" s="1"/>
      <c r="D3" s="7"/>
      <c r="E3" s="8" t="s">
        <v>5</v>
      </c>
      <c r="F3" s="8" t="s">
        <v>6</v>
      </c>
      <c r="G3" s="8" t="s">
        <v>7</v>
      </c>
      <c r="H3" s="1"/>
      <c r="I3" s="1"/>
      <c r="J3" s="1"/>
      <c r="K3" s="1"/>
      <c r="L3" s="1"/>
      <c r="M3" s="1"/>
      <c r="N3" s="1"/>
      <c r="O3" s="1"/>
      <c r="P3" s="1"/>
      <c r="Q3" s="1"/>
      <c r="R3" s="1"/>
      <c r="S3" s="1"/>
      <c r="T3" s="1"/>
      <c r="U3" s="1"/>
      <c r="V3" s="1"/>
      <c r="W3" s="1"/>
      <c r="X3" s="1"/>
      <c r="Y3" s="1"/>
      <c r="Z3" s="1"/>
    </row>
    <row r="4" ht="14.25" customHeight="1">
      <c r="A4" s="1"/>
      <c r="B4" s="6" t="s">
        <v>8</v>
      </c>
      <c r="C4" s="1"/>
      <c r="D4" s="9" t="s">
        <v>7</v>
      </c>
      <c r="E4" s="10">
        <f>G7+G28</f>
        <v>30100000</v>
      </c>
      <c r="F4" s="10">
        <f>E4*G2</f>
        <v>2400000</v>
      </c>
      <c r="G4" s="10">
        <f>SUM(E4:F4)</f>
        <v>32500000</v>
      </c>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9</v>
      </c>
      <c r="C6" s="8" t="s">
        <v>10</v>
      </c>
      <c r="D6" s="8"/>
      <c r="E6" s="8" t="s">
        <v>11</v>
      </c>
      <c r="F6" s="8" t="s">
        <v>12</v>
      </c>
      <c r="G6" s="8" t="s">
        <v>5</v>
      </c>
      <c r="H6" s="1"/>
      <c r="I6" s="1"/>
      <c r="J6" s="1"/>
      <c r="K6" s="1"/>
      <c r="L6" s="1"/>
      <c r="M6" s="1"/>
      <c r="N6" s="1"/>
      <c r="O6" s="1"/>
      <c r="P6" s="1"/>
      <c r="Q6" s="1"/>
      <c r="R6" s="1"/>
      <c r="S6" s="1"/>
      <c r="T6" s="1"/>
      <c r="U6" s="1"/>
      <c r="V6" s="1"/>
      <c r="W6" s="1"/>
      <c r="X6" s="1"/>
      <c r="Y6" s="1"/>
      <c r="Z6" s="1"/>
    </row>
    <row r="7" ht="14.25" customHeight="1">
      <c r="A7" s="1"/>
      <c r="B7" s="11" t="s">
        <v>13</v>
      </c>
      <c r="C7" s="11"/>
      <c r="D7" s="11"/>
      <c r="E7" s="11"/>
      <c r="F7" s="11"/>
      <c r="G7" s="40">
        <f>G8+G14+G21+G23</f>
        <v>27400000</v>
      </c>
      <c r="H7" s="1"/>
      <c r="I7" s="1"/>
      <c r="J7" s="1"/>
      <c r="K7" s="1"/>
      <c r="L7" s="1"/>
      <c r="M7" s="1"/>
      <c r="N7" s="1"/>
      <c r="O7" s="1"/>
      <c r="P7" s="1"/>
      <c r="Q7" s="1"/>
      <c r="R7" s="1"/>
      <c r="S7" s="1"/>
      <c r="T7" s="1"/>
      <c r="U7" s="1"/>
      <c r="V7" s="1"/>
      <c r="W7" s="1"/>
      <c r="X7" s="1"/>
      <c r="Y7" s="1"/>
      <c r="Z7" s="1"/>
    </row>
    <row r="8" ht="14.25" customHeight="1">
      <c r="A8" s="1"/>
      <c r="B8" s="13" t="s">
        <v>14</v>
      </c>
      <c r="C8" s="13"/>
      <c r="D8" s="13"/>
      <c r="E8" s="13"/>
      <c r="F8" s="13"/>
      <c r="G8" s="16">
        <f>G9+G10+G11+G12+G13</f>
        <v>23400000</v>
      </c>
      <c r="H8" s="1"/>
      <c r="I8" s="1"/>
      <c r="J8" s="1"/>
      <c r="K8" s="1"/>
      <c r="L8" s="1"/>
      <c r="M8" s="1"/>
      <c r="N8" s="1"/>
      <c r="O8" s="1"/>
      <c r="P8" s="1"/>
      <c r="Q8" s="1"/>
      <c r="R8" s="1"/>
      <c r="S8" s="1"/>
      <c r="T8" s="1"/>
      <c r="U8" s="1"/>
      <c r="V8" s="1"/>
      <c r="W8" s="1"/>
      <c r="X8" s="1"/>
      <c r="Y8" s="1"/>
      <c r="Z8" s="1"/>
    </row>
    <row r="9" ht="14.25" customHeight="1">
      <c r="A9" s="1"/>
      <c r="B9" s="13"/>
      <c r="C9" s="15" t="s">
        <v>15</v>
      </c>
      <c r="D9" s="13"/>
      <c r="E9" s="13" t="str">
        <f>VLOOKUP(C9,Datos!$B$8:$E$21,3,)</f>
        <v>Meses</v>
      </c>
      <c r="F9" s="16">
        <f>VLOOKUP(C9,Datos!$B$8:$G$29,6,FALSE())</f>
        <v>850000</v>
      </c>
      <c r="G9" s="16">
        <f>SUMIFS('Presupuesto Detallado Alto'!$I$7:$I$40,'Presupuesto Detallado Alto'!$D$7:$D$40,$C9)</f>
        <v>5100000</v>
      </c>
      <c r="H9" s="1"/>
      <c r="I9" s="1"/>
      <c r="J9" s="1"/>
      <c r="K9" s="1"/>
      <c r="L9" s="1"/>
      <c r="M9" s="1"/>
      <c r="N9" s="1"/>
      <c r="O9" s="1"/>
      <c r="P9" s="1"/>
      <c r="Q9" s="1"/>
      <c r="R9" s="1"/>
      <c r="S9" s="1"/>
      <c r="T9" s="1"/>
      <c r="U9" s="1"/>
      <c r="V9" s="1"/>
      <c r="W9" s="1"/>
      <c r="X9" s="1"/>
      <c r="Y9" s="1"/>
      <c r="Z9" s="1"/>
    </row>
    <row r="10" ht="14.25" customHeight="1">
      <c r="A10" s="1"/>
      <c r="B10" s="13"/>
      <c r="C10" s="15" t="s">
        <v>16</v>
      </c>
      <c r="D10" s="13"/>
      <c r="E10" s="13" t="str">
        <f>VLOOKUP(C10,Datos!$B$8:$E$21,3,)</f>
        <v>Meses</v>
      </c>
      <c r="F10" s="16">
        <f>VLOOKUP(C10,Datos!$B$8:$G$29,6,FALSE())</f>
        <v>900000</v>
      </c>
      <c r="G10" s="16">
        <f>SUMIFS('Presupuesto Detallado Alto'!$I$7:$I$39,'Presupuesto Detallado Alto'!$D$7:$D$39,$C10)</f>
        <v>5400000</v>
      </c>
      <c r="H10" s="1"/>
      <c r="I10" s="1"/>
      <c r="J10" s="1"/>
      <c r="K10" s="1"/>
      <c r="L10" s="1"/>
      <c r="M10" s="1"/>
      <c r="N10" s="1"/>
      <c r="O10" s="1"/>
      <c r="P10" s="1"/>
      <c r="Q10" s="1"/>
      <c r="R10" s="1"/>
      <c r="S10" s="1"/>
      <c r="T10" s="1"/>
      <c r="U10" s="1"/>
      <c r="V10" s="1"/>
      <c r="W10" s="1"/>
      <c r="X10" s="1"/>
      <c r="Y10" s="1"/>
      <c r="Z10" s="1"/>
    </row>
    <row r="11" ht="14.25" customHeight="1">
      <c r="A11" s="1"/>
      <c r="B11" s="13"/>
      <c r="C11" s="15" t="s">
        <v>17</v>
      </c>
      <c r="D11" s="13"/>
      <c r="E11" s="13" t="str">
        <f>VLOOKUP(C11,Datos!$B$8:$E$21,3,)</f>
        <v>Meses</v>
      </c>
      <c r="F11" s="16">
        <f>VLOOKUP(C11,Datos!$B$8:$G$29,6,FALSE())</f>
        <v>900000</v>
      </c>
      <c r="G11" s="16">
        <f>SUMIFS('Presupuesto Detallado Alto'!$I$7:$I$39,'Presupuesto Detallado Alto'!$D$7:$D$39,$C11)</f>
        <v>5400000</v>
      </c>
      <c r="H11" s="1"/>
      <c r="I11" s="1"/>
      <c r="J11" s="1"/>
      <c r="K11" s="1"/>
      <c r="L11" s="1"/>
      <c r="M11" s="1"/>
      <c r="N11" s="1"/>
      <c r="O11" s="1"/>
      <c r="P11" s="1"/>
      <c r="Q11" s="1"/>
      <c r="R11" s="1"/>
      <c r="S11" s="1"/>
      <c r="T11" s="1"/>
      <c r="U11" s="1"/>
      <c r="V11" s="1"/>
      <c r="W11" s="1"/>
      <c r="X11" s="1"/>
      <c r="Y11" s="1"/>
      <c r="Z11" s="1"/>
    </row>
    <row r="12" ht="14.25" customHeight="1">
      <c r="A12" s="1"/>
      <c r="B12" s="13"/>
      <c r="C12" s="15" t="s">
        <v>18</v>
      </c>
      <c r="D12" s="13"/>
      <c r="E12" s="13" t="str">
        <f>VLOOKUP(C12,Datos!$B$8:$E$21,3,)</f>
        <v>Meses</v>
      </c>
      <c r="F12" s="16">
        <f>VLOOKUP(C12,Datos!$B$8:$G$29,6,FALSE())</f>
        <v>800000</v>
      </c>
      <c r="G12" s="16">
        <f>SUMIFS('Presupuesto Detallado Alto'!$I$7:$I$39,'Presupuesto Detallado Alto'!$D$7:$D$39,$C12)</f>
        <v>4800000</v>
      </c>
      <c r="H12" s="1"/>
      <c r="I12" s="1"/>
      <c r="J12" s="1"/>
      <c r="K12" s="1"/>
      <c r="L12" s="1"/>
      <c r="M12" s="1"/>
      <c r="N12" s="1"/>
      <c r="O12" s="1"/>
      <c r="P12" s="1"/>
      <c r="Q12" s="1"/>
      <c r="R12" s="1"/>
      <c r="S12" s="1"/>
      <c r="T12" s="1"/>
      <c r="U12" s="1"/>
      <c r="V12" s="1"/>
      <c r="W12" s="1"/>
      <c r="X12" s="1"/>
      <c r="Y12" s="1"/>
      <c r="Z12" s="1"/>
    </row>
    <row r="13" ht="14.25" customHeight="1">
      <c r="A13" s="1"/>
      <c r="B13" s="13"/>
      <c r="C13" s="15" t="s">
        <v>19</v>
      </c>
      <c r="D13" s="13"/>
      <c r="E13" s="13" t="str">
        <f>VLOOKUP(C13,Datos!$B$8:$E$21,3,)</f>
        <v>Meses</v>
      </c>
      <c r="F13" s="16">
        <f>VLOOKUP(C13,Datos!$B$8:$G$29,6,FALSE())</f>
        <v>450000</v>
      </c>
      <c r="G13" s="16">
        <f>SUMIFS('Presupuesto Detallado Alto'!$I$7:$I$39,'Presupuesto Detallado Alto'!$D$7:$D$39,$C13)</f>
        <v>2700000</v>
      </c>
      <c r="H13" s="1"/>
      <c r="I13" s="1"/>
      <c r="J13" s="1"/>
      <c r="K13" s="1"/>
      <c r="L13" s="1"/>
      <c r="M13" s="1"/>
      <c r="N13" s="1"/>
      <c r="O13" s="1"/>
      <c r="P13" s="1"/>
      <c r="Q13" s="1"/>
      <c r="R13" s="1"/>
      <c r="S13" s="1"/>
      <c r="T13" s="1"/>
      <c r="U13" s="1"/>
      <c r="V13" s="1"/>
      <c r="W13" s="1"/>
      <c r="X13" s="1"/>
      <c r="Y13" s="1"/>
      <c r="Z13" s="1"/>
    </row>
    <row r="14" ht="14.25" customHeight="1">
      <c r="A14" s="1"/>
      <c r="B14" s="13" t="s">
        <v>20</v>
      </c>
      <c r="C14" s="13"/>
      <c r="D14" s="13"/>
      <c r="E14" s="13"/>
      <c r="F14" s="14"/>
      <c r="G14" s="16">
        <f>G15+G16+G17+G18+G19+G20</f>
        <v>2300000</v>
      </c>
      <c r="H14" s="1"/>
      <c r="I14" s="1"/>
      <c r="J14" s="1"/>
      <c r="K14" s="1"/>
      <c r="L14" s="1"/>
      <c r="M14" s="1"/>
      <c r="N14" s="1"/>
      <c r="O14" s="1"/>
      <c r="P14" s="1"/>
      <c r="Q14" s="1"/>
      <c r="R14" s="1"/>
      <c r="S14" s="1"/>
      <c r="T14" s="1"/>
      <c r="U14" s="1"/>
      <c r="V14" s="1"/>
      <c r="W14" s="1"/>
      <c r="X14" s="1"/>
      <c r="Y14" s="1"/>
      <c r="Z14" s="1"/>
    </row>
    <row r="15" ht="14.25" customHeight="1">
      <c r="A15" s="1"/>
      <c r="B15" s="13"/>
      <c r="C15" s="18" t="s">
        <v>76</v>
      </c>
      <c r="D15" s="13"/>
      <c r="E15" s="13" t="str">
        <f>VLOOKUP(C15,Datos!$B$8:$E$21,3,)</f>
        <v>Cantidad</v>
      </c>
      <c r="F15" s="16">
        <f>VLOOKUP(C15,Datos!$B$8:$G$29,6,FALSE())</f>
        <v>700000</v>
      </c>
      <c r="G15" s="16">
        <f>SUMIFS('Presupuesto Detallado Alto'!$I$7:$I$40,'Presupuesto Detallado Alto'!$D$7:$D$40,$C15)</f>
        <v>700000</v>
      </c>
      <c r="H15" s="1"/>
      <c r="I15" s="1"/>
      <c r="J15" s="1"/>
      <c r="K15" s="1"/>
      <c r="L15" s="1"/>
      <c r="M15" s="1"/>
      <c r="N15" s="1"/>
      <c r="O15" s="1"/>
      <c r="P15" s="1"/>
      <c r="Q15" s="1"/>
      <c r="R15" s="1"/>
      <c r="S15" s="1"/>
      <c r="T15" s="1"/>
      <c r="U15" s="1"/>
      <c r="V15" s="1"/>
      <c r="W15" s="1"/>
      <c r="X15" s="1"/>
      <c r="Y15" s="1"/>
      <c r="Z15" s="1"/>
    </row>
    <row r="16" ht="14.25" customHeight="1">
      <c r="A16" s="1"/>
      <c r="B16" s="13"/>
      <c r="C16" s="18" t="s">
        <v>21</v>
      </c>
      <c r="D16" s="13"/>
      <c r="E16" s="13" t="str">
        <f>VLOOKUP(C16,Datos!$B$8:$E$21,3,)</f>
        <v>Cantidad</v>
      </c>
      <c r="F16" s="16">
        <f>VLOOKUP(C16,Datos!$B$8:$G$29,6,FALSE())</f>
        <v>200000</v>
      </c>
      <c r="G16" s="16">
        <f>SUMIFS('Presupuesto Detallado Alto'!$I$7:$I$40,'Presupuesto Detallado Alto'!$D$7:$D$40,$C16)</f>
        <v>200000</v>
      </c>
      <c r="H16" s="1"/>
      <c r="I16" s="1"/>
      <c r="J16" s="1"/>
      <c r="K16" s="1"/>
      <c r="L16" s="1"/>
      <c r="M16" s="1"/>
      <c r="N16" s="1"/>
      <c r="O16" s="1"/>
      <c r="P16" s="1"/>
      <c r="Q16" s="1"/>
      <c r="R16" s="1"/>
      <c r="S16" s="1"/>
      <c r="T16" s="1"/>
      <c r="U16" s="1"/>
      <c r="V16" s="1"/>
      <c r="W16" s="1"/>
      <c r="X16" s="1"/>
      <c r="Y16" s="1"/>
      <c r="Z16" s="1"/>
    </row>
    <row r="17" ht="14.25" customHeight="1">
      <c r="A17" s="1"/>
      <c r="B17" s="13"/>
      <c r="C17" s="18" t="s">
        <v>23</v>
      </c>
      <c r="D17" s="13"/>
      <c r="E17" s="13" t="str">
        <f>VLOOKUP(C17,Datos!$B$8:$E$21,3,)</f>
        <v>Cantidad</v>
      </c>
      <c r="F17" s="16">
        <f>VLOOKUP(C17,Datos!$B$8:$G$29,6,FALSE())</f>
        <v>200000</v>
      </c>
      <c r="G17" s="16">
        <f>SUMIFS('Presupuesto Detallado Alto'!$I$7:$I$40,'Presupuesto Detallado Alto'!$D$7:$D$40,$C17)</f>
        <v>200000</v>
      </c>
      <c r="H17" s="1"/>
      <c r="I17" s="1"/>
      <c r="J17" s="1"/>
      <c r="K17" s="1"/>
      <c r="L17" s="1"/>
      <c r="M17" s="1"/>
      <c r="N17" s="1"/>
      <c r="O17" s="1"/>
      <c r="P17" s="1"/>
      <c r="Q17" s="1"/>
      <c r="R17" s="1"/>
      <c r="S17" s="1"/>
      <c r="T17" s="1"/>
      <c r="U17" s="1"/>
      <c r="V17" s="1"/>
      <c r="W17" s="1"/>
      <c r="X17" s="1"/>
      <c r="Y17" s="1"/>
      <c r="Z17" s="1"/>
    </row>
    <row r="18" ht="14.25" customHeight="1">
      <c r="A18" s="1"/>
      <c r="B18" s="13"/>
      <c r="C18" s="18" t="s">
        <v>79</v>
      </c>
      <c r="D18" s="13"/>
      <c r="E18" s="13" t="str">
        <f>VLOOKUP(C18,Datos!$B$8:$E$21,3,)</f>
        <v>Cantidad</v>
      </c>
      <c r="F18" s="16">
        <f>VLOOKUP(C18,Datos!$B$8:$G$29,6,FALSE())</f>
        <v>400000</v>
      </c>
      <c r="G18" s="16">
        <f>SUMIFS('Presupuesto Detallado Alto'!$I$7:$I$40,'Presupuesto Detallado Alto'!$D$7:$D$40,$C18)</f>
        <v>400000</v>
      </c>
      <c r="H18" s="1"/>
      <c r="I18" s="1"/>
      <c r="J18" s="1"/>
      <c r="K18" s="1"/>
      <c r="L18" s="1"/>
      <c r="M18" s="1"/>
      <c r="N18" s="1"/>
      <c r="O18" s="1"/>
      <c r="P18" s="1"/>
      <c r="Q18" s="1"/>
      <c r="R18" s="1"/>
      <c r="S18" s="1"/>
      <c r="T18" s="1"/>
      <c r="U18" s="1"/>
      <c r="V18" s="1"/>
      <c r="W18" s="1"/>
      <c r="X18" s="1"/>
      <c r="Y18" s="1"/>
      <c r="Z18" s="1"/>
    </row>
    <row r="19" ht="14.25" customHeight="1">
      <c r="A19" s="1"/>
      <c r="B19" s="13"/>
      <c r="C19" s="18" t="s">
        <v>24</v>
      </c>
      <c r="D19" s="13"/>
      <c r="E19" s="13" t="str">
        <f>VLOOKUP(C19,Datos!$B$8:$E$21,3,)</f>
        <v>Cantidad</v>
      </c>
      <c r="F19" s="16">
        <f>VLOOKUP(C19,Datos!$B$8:$G$29,6,FALSE())</f>
        <v>400000</v>
      </c>
      <c r="G19" s="16">
        <f>SUMIFS('Presupuesto Detallado Alto'!$I$7:$I$40,'Presupuesto Detallado Alto'!$D$7:$D$40,$C19)</f>
        <v>400000</v>
      </c>
      <c r="H19" s="1"/>
      <c r="I19" s="1"/>
      <c r="J19" s="1"/>
      <c r="K19" s="1"/>
      <c r="L19" s="1"/>
      <c r="M19" s="1"/>
      <c r="N19" s="1"/>
      <c r="O19" s="1"/>
      <c r="P19" s="1"/>
      <c r="Q19" s="1"/>
      <c r="R19" s="1"/>
      <c r="S19" s="1"/>
      <c r="T19" s="1"/>
      <c r="U19" s="1"/>
      <c r="V19" s="1"/>
      <c r="W19" s="1"/>
      <c r="X19" s="1"/>
      <c r="Y19" s="1"/>
      <c r="Z19" s="1"/>
    </row>
    <row r="20" ht="14.25" customHeight="1">
      <c r="A20" s="1"/>
      <c r="B20" s="13"/>
      <c r="C20" s="18" t="s">
        <v>25</v>
      </c>
      <c r="D20" s="13"/>
      <c r="E20" s="13" t="str">
        <f>VLOOKUP(C20,Datos!$B$8:$E$21,3,)</f>
        <v>Cantidad</v>
      </c>
      <c r="F20" s="16">
        <f>VLOOKUP(C20,Datos!$B$8:$G$29,6,FALSE())</f>
        <v>400000</v>
      </c>
      <c r="G20" s="16">
        <f>SUMIFS('Presupuesto Detallado Alto'!$I$7:$I$40,'Presupuesto Detallado Alto'!$D$7:$D$40,$C20)</f>
        <v>400000</v>
      </c>
      <c r="H20" s="1"/>
      <c r="I20" s="1"/>
      <c r="J20" s="1"/>
      <c r="K20" s="1"/>
      <c r="L20" s="1"/>
      <c r="M20" s="1"/>
      <c r="N20" s="1"/>
      <c r="O20" s="1"/>
      <c r="P20" s="1"/>
      <c r="Q20" s="1"/>
      <c r="R20" s="1"/>
      <c r="S20" s="1"/>
      <c r="T20" s="1"/>
      <c r="U20" s="1"/>
      <c r="V20" s="1"/>
      <c r="W20" s="1"/>
      <c r="X20" s="1"/>
      <c r="Y20" s="1"/>
      <c r="Z20" s="1"/>
    </row>
    <row r="21" ht="14.25" customHeight="1">
      <c r="A21" s="1"/>
      <c r="B21" s="13" t="s">
        <v>26</v>
      </c>
      <c r="C21" s="13"/>
      <c r="D21" s="13"/>
      <c r="E21" s="13"/>
      <c r="F21" s="14"/>
      <c r="G21" s="16">
        <f>G22</f>
        <v>300000</v>
      </c>
      <c r="H21" s="1"/>
      <c r="I21" s="1"/>
      <c r="J21" s="1"/>
      <c r="K21" s="1"/>
      <c r="L21" s="1"/>
      <c r="M21" s="1"/>
      <c r="N21" s="1"/>
      <c r="O21" s="1"/>
      <c r="P21" s="1"/>
      <c r="Q21" s="1"/>
      <c r="R21" s="1"/>
      <c r="S21" s="1"/>
      <c r="T21" s="1"/>
      <c r="U21" s="1"/>
      <c r="V21" s="1"/>
      <c r="W21" s="1"/>
      <c r="X21" s="1"/>
      <c r="Y21" s="1"/>
      <c r="Z21" s="1"/>
    </row>
    <row r="22" ht="14.25" customHeight="1">
      <c r="A22" s="1"/>
      <c r="B22" s="13"/>
      <c r="C22" s="17" t="s">
        <v>27</v>
      </c>
      <c r="D22" s="13"/>
      <c r="E22" s="13" t="str">
        <f>VLOOKUP(C22,Datos!$B$8:$E$21,3,)</f>
        <v>Cantidad</v>
      </c>
      <c r="F22" s="16">
        <f>VLOOKUP(C22,Datos!$B$8:$G$29,6,FALSE())</f>
        <v>300000</v>
      </c>
      <c r="G22" s="16">
        <f>SUMIFS('Presupuesto Detallado Alto'!$I$7:$I$40,'Presupuesto Detallado Alto'!$D$7:$D$40,$C22)</f>
        <v>300000</v>
      </c>
      <c r="H22" s="1"/>
      <c r="I22" s="1"/>
      <c r="J22" s="1"/>
      <c r="K22" s="1"/>
      <c r="L22" s="1"/>
      <c r="M22" s="1"/>
      <c r="N22" s="1"/>
      <c r="O22" s="1"/>
      <c r="P22" s="1"/>
      <c r="Q22" s="1"/>
      <c r="R22" s="1"/>
      <c r="S22" s="1"/>
      <c r="T22" s="1"/>
      <c r="U22" s="1"/>
      <c r="V22" s="1"/>
      <c r="W22" s="1"/>
      <c r="X22" s="1"/>
      <c r="Y22" s="1"/>
      <c r="Z22" s="1"/>
    </row>
    <row r="23" ht="14.25" customHeight="1">
      <c r="A23" s="1"/>
      <c r="B23" s="18" t="s">
        <v>28</v>
      </c>
      <c r="C23" s="13"/>
      <c r="D23" s="13"/>
      <c r="E23" s="13"/>
      <c r="F23" s="14"/>
      <c r="G23" s="16">
        <f>G24+G25+G26+G27</f>
        <v>1400000</v>
      </c>
      <c r="H23" s="1"/>
      <c r="I23" s="1"/>
      <c r="J23" s="1"/>
      <c r="K23" s="1"/>
      <c r="L23" s="1"/>
      <c r="M23" s="1"/>
      <c r="N23" s="1"/>
      <c r="O23" s="1"/>
      <c r="P23" s="1"/>
      <c r="Q23" s="1"/>
      <c r="R23" s="1"/>
      <c r="S23" s="1"/>
      <c r="T23" s="1"/>
      <c r="U23" s="1"/>
      <c r="V23" s="1"/>
      <c r="W23" s="1"/>
      <c r="X23" s="1"/>
      <c r="Y23" s="1"/>
      <c r="Z23" s="1"/>
    </row>
    <row r="24" ht="14.25" customHeight="1">
      <c r="A24" s="1"/>
      <c r="B24" s="1"/>
      <c r="C24" s="18" t="s">
        <v>29</v>
      </c>
      <c r="D24" s="13"/>
      <c r="E24" s="13" t="str">
        <f>VLOOKUP(C24,Datos!$B$8:$G$29,3,FALSE())</f>
        <v>Cantidad</v>
      </c>
      <c r="F24" s="16">
        <f>VLOOKUP(C24,Datos!$B$8:$G$29,6,FALSE())</f>
        <v>200000</v>
      </c>
      <c r="G24" s="16">
        <f>SUMIFS('Presupuesto Detallado Alto'!$I$7:$I$40,'Presupuesto Detallado Alto'!$D$7:$D$40,$C24)</f>
        <v>200000</v>
      </c>
      <c r="H24" s="1"/>
      <c r="I24" s="1"/>
      <c r="J24" s="1"/>
      <c r="K24" s="1"/>
      <c r="L24" s="1"/>
      <c r="M24" s="1"/>
      <c r="N24" s="1"/>
      <c r="O24" s="1"/>
      <c r="P24" s="1"/>
      <c r="Q24" s="1"/>
      <c r="R24" s="1"/>
      <c r="S24" s="1"/>
      <c r="T24" s="1"/>
      <c r="U24" s="1"/>
      <c r="V24" s="1"/>
      <c r="W24" s="1"/>
      <c r="X24" s="1"/>
      <c r="Y24" s="1"/>
      <c r="Z24" s="1"/>
    </row>
    <row r="25" ht="14.25" customHeight="1">
      <c r="A25" s="1"/>
      <c r="B25" s="13"/>
      <c r="C25" s="17" t="s">
        <v>80</v>
      </c>
      <c r="D25" s="13"/>
      <c r="E25" s="13" t="str">
        <f>VLOOKUP(C25,Datos!$B$8:$G$29,3,FALSE())</f>
        <v>Cantidad</v>
      </c>
      <c r="F25" s="16">
        <f>VLOOKUP(C25,Datos!$B$8:$G$29,6,FALSE())</f>
        <v>400000</v>
      </c>
      <c r="G25" s="16">
        <f>SUMIFS('Presupuesto Detallado Alto'!$I$7:$I$40,'Presupuesto Detallado Alto'!$D$7:$D$40,$C25)</f>
        <v>400000</v>
      </c>
      <c r="H25" s="1"/>
      <c r="I25" s="1"/>
      <c r="J25" s="1"/>
      <c r="K25" s="1"/>
      <c r="L25" s="1"/>
      <c r="M25" s="1"/>
      <c r="N25" s="1"/>
      <c r="O25" s="1"/>
      <c r="P25" s="1"/>
      <c r="Q25" s="1"/>
      <c r="R25" s="1"/>
      <c r="S25" s="1"/>
      <c r="T25" s="1"/>
      <c r="U25" s="1"/>
      <c r="V25" s="1"/>
      <c r="W25" s="1"/>
      <c r="X25" s="1"/>
      <c r="Y25" s="1"/>
      <c r="Z25" s="1"/>
    </row>
    <row r="26" ht="14.25" customHeight="1">
      <c r="A26" s="1"/>
      <c r="B26" s="13"/>
      <c r="C26" s="17" t="s">
        <v>30</v>
      </c>
      <c r="D26" s="13"/>
      <c r="E26" s="13" t="str">
        <f>VLOOKUP(C26,Datos!$B$8:$G$29,3,FALSE())</f>
        <v>Cantidad</v>
      </c>
      <c r="F26" s="16">
        <f>VLOOKUP(C26,Datos!$B$8:$G$29,6,FALSE())</f>
        <v>500000</v>
      </c>
      <c r="G26" s="16">
        <f>SUMIFS('Presupuesto Detallado Alto'!$I$7:$I$40,'Presupuesto Detallado Alto'!$D$7:$D$40,$C26)</f>
        <v>500000</v>
      </c>
      <c r="H26" s="1"/>
      <c r="I26" s="1"/>
      <c r="J26" s="1"/>
      <c r="K26" s="1"/>
      <c r="L26" s="1"/>
      <c r="M26" s="1"/>
      <c r="N26" s="1"/>
      <c r="O26" s="1"/>
      <c r="P26" s="1"/>
      <c r="Q26" s="1"/>
      <c r="R26" s="1"/>
      <c r="S26" s="1"/>
      <c r="T26" s="1"/>
      <c r="U26" s="1"/>
      <c r="V26" s="1"/>
      <c r="W26" s="1"/>
      <c r="X26" s="1"/>
      <c r="Y26" s="1"/>
      <c r="Z26" s="1"/>
    </row>
    <row r="27" ht="14.25" customHeight="1">
      <c r="A27" s="1"/>
      <c r="B27" s="13"/>
      <c r="C27" s="17" t="s">
        <v>81</v>
      </c>
      <c r="D27" s="13"/>
      <c r="E27" s="13" t="str">
        <f>VLOOKUP(C27,Datos!$B$8:$G$29,3,FALSE())</f>
        <v>Cantidad</v>
      </c>
      <c r="F27" s="16">
        <f>VLOOKUP(C27,Datos!$B$8:$G$29,6,FALSE())</f>
        <v>300000</v>
      </c>
      <c r="G27" s="16">
        <f>SUMIFS('Presupuesto Detallado Alto'!$I$7:$I$40,'Presupuesto Detallado Alto'!$D$7:$D$40,$C27)</f>
        <v>300000</v>
      </c>
      <c r="H27" s="1"/>
      <c r="I27" s="1"/>
      <c r="J27" s="1"/>
      <c r="K27" s="1"/>
      <c r="L27" s="1"/>
      <c r="M27" s="1"/>
      <c r="N27" s="1"/>
      <c r="O27" s="1"/>
      <c r="P27" s="1"/>
      <c r="Q27" s="1"/>
      <c r="R27" s="1"/>
      <c r="S27" s="1"/>
      <c r="T27" s="1"/>
      <c r="U27" s="1"/>
      <c r="V27" s="1"/>
      <c r="W27" s="1"/>
      <c r="X27" s="1"/>
      <c r="Y27" s="1"/>
      <c r="Z27" s="1"/>
    </row>
    <row r="28" ht="14.25" customHeight="1">
      <c r="A28" s="1"/>
      <c r="B28" s="11" t="s">
        <v>32</v>
      </c>
      <c r="C28" s="11"/>
      <c r="D28" s="11"/>
      <c r="E28" s="11"/>
      <c r="F28" s="12"/>
      <c r="G28" s="40">
        <f>G29+G30+G31</f>
        <v>2700000</v>
      </c>
      <c r="H28" s="1"/>
      <c r="I28" s="1"/>
      <c r="J28" s="1"/>
      <c r="K28" s="1"/>
      <c r="L28" s="1"/>
      <c r="M28" s="1"/>
      <c r="N28" s="1"/>
      <c r="O28" s="1"/>
      <c r="P28" s="1"/>
      <c r="Q28" s="1"/>
      <c r="R28" s="1"/>
      <c r="S28" s="1"/>
      <c r="T28" s="1"/>
      <c r="U28" s="1"/>
      <c r="V28" s="1"/>
      <c r="W28" s="1"/>
      <c r="X28" s="1"/>
      <c r="Y28" s="1"/>
      <c r="Z28" s="1"/>
    </row>
    <row r="29" ht="14.25" customHeight="1">
      <c r="A29" s="1"/>
      <c r="B29" s="13"/>
      <c r="C29" s="18" t="s">
        <v>33</v>
      </c>
      <c r="D29" s="13"/>
      <c r="E29" s="13" t="str">
        <f>VLOOKUP(C29,Datos!$B$8:$G$29,3,FALSE())</f>
        <v>Meses</v>
      </c>
      <c r="F29" s="16">
        <f>VLOOKUP(C29,Datos!$B$8:$G$29,6,FALSE())</f>
        <v>180000</v>
      </c>
      <c r="G29" s="16">
        <f>SUMIFS('Presupuesto Detallado Alto'!$I$7:$I$40,'Presupuesto Detallado Alto'!$D$7:$D$40,$C29)</f>
        <v>1080000</v>
      </c>
      <c r="H29" s="1"/>
      <c r="I29" s="1"/>
      <c r="J29" s="1"/>
      <c r="K29" s="1"/>
      <c r="L29" s="1"/>
      <c r="M29" s="1"/>
      <c r="N29" s="1"/>
      <c r="O29" s="1"/>
      <c r="P29" s="1"/>
      <c r="Q29" s="1"/>
      <c r="R29" s="1"/>
      <c r="S29" s="1"/>
      <c r="T29" s="1"/>
      <c r="U29" s="1"/>
      <c r="V29" s="1"/>
      <c r="W29" s="1"/>
      <c r="X29" s="1"/>
      <c r="Y29" s="1"/>
      <c r="Z29" s="1"/>
    </row>
    <row r="30" ht="14.25" customHeight="1">
      <c r="A30" s="1"/>
      <c r="B30" s="13"/>
      <c r="C30" s="17" t="s">
        <v>34</v>
      </c>
      <c r="D30" s="13"/>
      <c r="E30" s="13" t="str">
        <f>VLOOKUP(C30,Datos!$B$8:$G$29,3,FALSE())</f>
        <v>Meses</v>
      </c>
      <c r="F30" s="16">
        <f>VLOOKUP(C30,Datos!$B$8:$G$29,6,FALSE())</f>
        <v>70000</v>
      </c>
      <c r="G30" s="16">
        <f>SUMIFS('Presupuesto Detallado Alto'!$I$7:$I$42,'Presupuesto Detallado Alto'!$D$7:$D$42,$C30)</f>
        <v>420000</v>
      </c>
      <c r="H30" s="1"/>
      <c r="I30" s="1"/>
      <c r="J30" s="1"/>
      <c r="K30" s="1"/>
      <c r="L30" s="1"/>
      <c r="M30" s="1"/>
      <c r="N30" s="1"/>
      <c r="O30" s="1"/>
      <c r="P30" s="1"/>
      <c r="Q30" s="1"/>
      <c r="R30" s="1"/>
      <c r="S30" s="1"/>
      <c r="T30" s="1"/>
      <c r="U30" s="1"/>
      <c r="V30" s="1"/>
      <c r="W30" s="1"/>
      <c r="X30" s="1"/>
      <c r="Y30" s="1"/>
      <c r="Z30" s="1"/>
    </row>
    <row r="31" ht="14.25" customHeight="1">
      <c r="A31" s="1"/>
      <c r="B31" s="1"/>
      <c r="C31" s="22" t="s">
        <v>82</v>
      </c>
      <c r="D31" s="1"/>
      <c r="E31" s="13" t="str">
        <f>VLOOKUP(C31,Datos!$B$8:$G$29,3,FALSE())</f>
        <v>Meses</v>
      </c>
      <c r="F31" s="16">
        <f>VLOOKUP(C31,Datos!$B$8:$G$29,6,FALSE())</f>
        <v>200000</v>
      </c>
      <c r="G31" s="16">
        <f>SUMIFS('Presupuesto Detallado Alto'!$I$7:$I$42,'Presupuesto Detallado Alto'!$D$7:$D$42,$C31)</f>
        <v>1200000</v>
      </c>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9" t="s">
        <v>35</v>
      </c>
      <c r="C33" s="11"/>
      <c r="D33" s="11"/>
      <c r="E33" s="11"/>
      <c r="F33" s="11"/>
      <c r="G33" s="20"/>
      <c r="H33" s="1"/>
      <c r="I33" s="1"/>
      <c r="J33" s="1"/>
      <c r="K33" s="1"/>
      <c r="L33" s="1"/>
      <c r="M33" s="1"/>
      <c r="N33" s="1"/>
      <c r="O33" s="1"/>
      <c r="P33" s="1"/>
      <c r="Q33" s="1"/>
      <c r="R33" s="1"/>
      <c r="S33" s="1"/>
      <c r="T33" s="1"/>
      <c r="U33" s="1"/>
      <c r="V33" s="1"/>
      <c r="W33" s="1"/>
      <c r="X33" s="1"/>
      <c r="Y33" s="1"/>
      <c r="Z33" s="1"/>
    </row>
    <row r="34" ht="14.25" customHeight="1">
      <c r="A34" s="1"/>
      <c r="B34" s="1"/>
      <c r="C34" s="21" t="s">
        <v>36</v>
      </c>
      <c r="D34" s="21" t="s">
        <v>37</v>
      </c>
      <c r="E34" s="21" t="s">
        <v>5</v>
      </c>
      <c r="F34" s="21" t="s">
        <v>38</v>
      </c>
      <c r="G34" s="1"/>
      <c r="H34" s="1"/>
      <c r="I34" s="1"/>
      <c r="J34" s="1"/>
      <c r="K34" s="1"/>
      <c r="L34" s="1"/>
      <c r="M34" s="1"/>
      <c r="N34" s="1"/>
      <c r="O34" s="1"/>
      <c r="P34" s="1"/>
      <c r="Q34" s="1"/>
      <c r="R34" s="1"/>
      <c r="S34" s="1"/>
      <c r="T34" s="1"/>
      <c r="U34" s="1"/>
      <c r="V34" s="1"/>
      <c r="W34" s="1"/>
      <c r="X34" s="1"/>
      <c r="Y34" s="1"/>
      <c r="Z34" s="1"/>
    </row>
    <row r="35" ht="14.25" customHeight="1">
      <c r="A35" s="1"/>
      <c r="B35" s="1"/>
      <c r="C35" s="22" t="s">
        <v>39</v>
      </c>
      <c r="D35" s="23">
        <f>(F9+F10+F11+F12+F13)*6</f>
        <v>23400000</v>
      </c>
      <c r="E35" s="23">
        <f>'Presupuesto Detallado Alto'!I20+'Presupuesto Detallado Alto'!I35</f>
        <v>23400000</v>
      </c>
      <c r="F35" s="23">
        <f t="shared" ref="F35:F39" si="1">E35-D35</f>
        <v>0</v>
      </c>
      <c r="G35" s="1"/>
      <c r="H35" s="1"/>
      <c r="I35" s="1"/>
      <c r="J35" s="1"/>
      <c r="K35" s="1"/>
      <c r="L35" s="1"/>
      <c r="M35" s="1"/>
      <c r="N35" s="1"/>
      <c r="O35" s="1"/>
      <c r="P35" s="1"/>
      <c r="Q35" s="1"/>
      <c r="R35" s="1"/>
      <c r="S35" s="1"/>
      <c r="T35" s="1"/>
      <c r="U35" s="1"/>
      <c r="V35" s="1"/>
      <c r="W35" s="1"/>
      <c r="X35" s="1"/>
      <c r="Y35" s="1"/>
      <c r="Z35" s="1"/>
    </row>
    <row r="36" ht="14.25" customHeight="1">
      <c r="A36" s="1"/>
      <c r="B36" s="1"/>
      <c r="C36" s="22" t="s">
        <v>40</v>
      </c>
      <c r="D36" s="24">
        <v>2700000.0</v>
      </c>
      <c r="E36" s="23">
        <f>'Presupuesto Detallado Alto'!I38</f>
        <v>2700000</v>
      </c>
      <c r="F36" s="23">
        <f t="shared" si="1"/>
        <v>0</v>
      </c>
      <c r="G36" s="1"/>
      <c r="H36" s="1"/>
      <c r="I36" s="1"/>
      <c r="J36" s="1"/>
      <c r="K36" s="1"/>
      <c r="L36" s="1"/>
      <c r="M36" s="1"/>
      <c r="N36" s="1"/>
      <c r="O36" s="1"/>
      <c r="P36" s="1"/>
      <c r="Q36" s="1"/>
      <c r="R36" s="1"/>
      <c r="S36" s="1"/>
      <c r="T36" s="1"/>
      <c r="U36" s="1"/>
      <c r="V36" s="1"/>
      <c r="W36" s="1"/>
      <c r="X36" s="1"/>
      <c r="Y36" s="1"/>
      <c r="Z36" s="1"/>
    </row>
    <row r="37" ht="14.25" customHeight="1">
      <c r="A37" s="1"/>
      <c r="B37" s="1"/>
      <c r="C37" s="22" t="s">
        <v>41</v>
      </c>
      <c r="D37" s="24">
        <v>2300000.0</v>
      </c>
      <c r="E37" s="23">
        <f>'Presupuesto Detallado Alto'!I15+'Presupuesto Detallado Alto'!I26</f>
        <v>2300000</v>
      </c>
      <c r="F37" s="23">
        <f t="shared" si="1"/>
        <v>0</v>
      </c>
      <c r="G37" s="1"/>
      <c r="H37" s="1"/>
      <c r="I37" s="1"/>
      <c r="J37" s="1"/>
      <c r="K37" s="1"/>
      <c r="L37" s="1"/>
      <c r="M37" s="1"/>
      <c r="N37" s="1"/>
      <c r="O37" s="1"/>
      <c r="P37" s="1"/>
      <c r="Q37" s="1"/>
      <c r="R37" s="1"/>
      <c r="S37" s="1"/>
      <c r="T37" s="1"/>
      <c r="U37" s="1"/>
      <c r="V37" s="1"/>
      <c r="W37" s="1"/>
      <c r="X37" s="1"/>
      <c r="Y37" s="1"/>
      <c r="Z37" s="1"/>
    </row>
    <row r="38" ht="14.25" customHeight="1">
      <c r="A38" s="1"/>
      <c r="B38" s="1"/>
      <c r="C38" s="22" t="s">
        <v>42</v>
      </c>
      <c r="D38" s="24">
        <v>1700000.0</v>
      </c>
      <c r="E38" s="23">
        <f>'Presupuesto Detallado Alto'!I8</f>
        <v>1700000</v>
      </c>
      <c r="F38" s="23">
        <f t="shared" si="1"/>
        <v>0</v>
      </c>
      <c r="G38" s="1"/>
      <c r="H38" s="1"/>
      <c r="I38" s="1"/>
      <c r="J38" s="1"/>
      <c r="K38" s="1"/>
      <c r="L38" s="1"/>
      <c r="M38" s="1"/>
      <c r="N38" s="1"/>
      <c r="O38" s="1"/>
      <c r="P38" s="1"/>
      <c r="Q38" s="1"/>
      <c r="R38" s="1"/>
      <c r="S38" s="1"/>
      <c r="T38" s="1"/>
      <c r="U38" s="1"/>
      <c r="V38" s="1"/>
      <c r="W38" s="1"/>
      <c r="X38" s="1"/>
      <c r="Y38" s="1"/>
      <c r="Z38" s="1"/>
    </row>
    <row r="39" ht="14.25" customHeight="1">
      <c r="A39" s="1"/>
      <c r="B39" s="1"/>
      <c r="C39" s="22" t="s">
        <v>43</v>
      </c>
      <c r="D39" s="24">
        <v>2400000.0</v>
      </c>
      <c r="E39" s="23">
        <f>'Presupuesto Detallado Alto'!H4</f>
        <v>2400000</v>
      </c>
      <c r="F39" s="23">
        <f t="shared" si="1"/>
        <v>0</v>
      </c>
      <c r="G39" s="1"/>
      <c r="H39" s="1"/>
      <c r="I39" s="1"/>
      <c r="J39" s="1"/>
      <c r="K39" s="1"/>
      <c r="L39" s="1"/>
      <c r="M39" s="1"/>
      <c r="N39" s="1"/>
      <c r="O39" s="1"/>
      <c r="P39" s="1"/>
      <c r="Q39" s="1"/>
      <c r="R39" s="1"/>
      <c r="S39" s="1"/>
      <c r="T39" s="1"/>
      <c r="U39" s="1"/>
      <c r="V39" s="1"/>
      <c r="W39" s="1"/>
      <c r="X39" s="1"/>
      <c r="Y39" s="1"/>
      <c r="Z39" s="1"/>
    </row>
    <row r="40" ht="14.25" customHeight="1">
      <c r="A40" s="1"/>
      <c r="B40" s="19"/>
      <c r="C40" s="19" t="s">
        <v>44</v>
      </c>
      <c r="D40" s="12">
        <f>D35+D36+D37+D38+D39</f>
        <v>32500000</v>
      </c>
      <c r="E40" s="12">
        <f t="shared" ref="E40:F40" si="2">SUM(E35:E39)</f>
        <v>32500000</v>
      </c>
      <c r="F40" s="12">
        <f t="shared" si="2"/>
        <v>0</v>
      </c>
      <c r="G40" s="20"/>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printOptions/>
  <pageMargins bottom="0.7480314960629921" footer="0.0" header="0.0" left="0.7086614173228347" right="0.7086614173228347" top="0.7480314960629921"/>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7.86"/>
    <col customWidth="1" min="3" max="3" width="16.43"/>
    <col customWidth="1" min="4" max="4" width="27.0"/>
    <col customWidth="1" min="5" max="5" width="16.29"/>
    <col customWidth="1" min="6" max="6" width="18.0"/>
    <col customWidth="1" min="7" max="7" width="14.57"/>
    <col customWidth="1" min="8" max="8" width="13.29"/>
    <col customWidth="1" min="9" max="9" width="13.14"/>
    <col customWidth="1" min="10" max="26" width="11.43"/>
  </cols>
  <sheetData>
    <row r="1" ht="14.25" customHeight="1">
      <c r="A1" s="1"/>
      <c r="B1" s="2" t="s">
        <v>78</v>
      </c>
      <c r="C1" s="1"/>
      <c r="D1" s="1"/>
      <c r="E1" s="1"/>
      <c r="F1" s="1"/>
      <c r="G1" s="3" t="s">
        <v>1</v>
      </c>
      <c r="H1" s="1"/>
      <c r="I1" s="1"/>
      <c r="J1" s="1"/>
      <c r="K1" s="1"/>
      <c r="L1" s="1"/>
      <c r="M1" s="1"/>
      <c r="N1" s="1"/>
      <c r="O1" s="1"/>
      <c r="P1" s="1"/>
      <c r="Q1" s="1"/>
      <c r="R1" s="1"/>
      <c r="S1" s="1"/>
      <c r="T1" s="1"/>
      <c r="U1" s="1"/>
      <c r="V1" s="1"/>
      <c r="W1" s="1"/>
      <c r="X1" s="1"/>
      <c r="Y1" s="1"/>
      <c r="Z1" s="1"/>
    </row>
    <row r="2" ht="14.25" customHeight="1">
      <c r="A2" s="1"/>
      <c r="B2" s="4" t="s">
        <v>2</v>
      </c>
      <c r="C2" s="1"/>
      <c r="D2" s="1"/>
      <c r="E2" s="1"/>
      <c r="F2" s="1"/>
      <c r="G2" s="1" t="s">
        <v>3</v>
      </c>
      <c r="H2" s="1"/>
      <c r="I2" s="25">
        <f>IF(G4=0,0,'Por Recursos Alto'!D39/G4)</f>
        <v>0.07973421927</v>
      </c>
      <c r="J2" s="1"/>
      <c r="K2" s="1"/>
      <c r="L2" s="1"/>
      <c r="M2" s="1"/>
      <c r="N2" s="1"/>
      <c r="O2" s="1"/>
      <c r="P2" s="1"/>
      <c r="Q2" s="1"/>
      <c r="R2" s="1"/>
      <c r="S2" s="1"/>
      <c r="T2" s="1"/>
      <c r="U2" s="1"/>
      <c r="V2" s="1"/>
      <c r="W2" s="1"/>
      <c r="X2" s="1"/>
      <c r="Y2" s="1"/>
      <c r="Z2" s="1"/>
    </row>
    <row r="3" ht="15.75" customHeight="1">
      <c r="A3" s="1"/>
      <c r="B3" s="6" t="s">
        <v>4</v>
      </c>
      <c r="C3" s="1"/>
      <c r="D3" s="1"/>
      <c r="E3" s="7"/>
      <c r="F3" s="7"/>
      <c r="G3" s="8" t="s">
        <v>5</v>
      </c>
      <c r="H3" s="8" t="s">
        <v>6</v>
      </c>
      <c r="I3" s="8" t="s">
        <v>7</v>
      </c>
      <c r="J3" s="1"/>
      <c r="K3" s="1"/>
      <c r="L3" s="1"/>
      <c r="M3" s="1"/>
      <c r="N3" s="1"/>
      <c r="O3" s="1"/>
      <c r="P3" s="1"/>
      <c r="Q3" s="1"/>
      <c r="R3" s="1"/>
      <c r="S3" s="1"/>
      <c r="T3" s="1"/>
      <c r="U3" s="1"/>
      <c r="V3" s="1"/>
      <c r="W3" s="1"/>
      <c r="X3" s="1"/>
      <c r="Y3" s="1"/>
      <c r="Z3" s="1"/>
    </row>
    <row r="4" ht="15.0" customHeight="1">
      <c r="A4" s="1"/>
      <c r="B4" s="6" t="s">
        <v>8</v>
      </c>
      <c r="C4" s="1"/>
      <c r="D4" s="1"/>
      <c r="E4" s="9" t="s">
        <v>7</v>
      </c>
      <c r="F4" s="9"/>
      <c r="G4" s="10">
        <f>I7+I19+I34</f>
        <v>30100000</v>
      </c>
      <c r="H4" s="10">
        <f>G4*I2</f>
        <v>2400000</v>
      </c>
      <c r="I4" s="10">
        <f>SUM(G4:H4)</f>
        <v>32500000</v>
      </c>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26" t="s">
        <v>45</v>
      </c>
      <c r="C6" s="8" t="s">
        <v>46</v>
      </c>
      <c r="D6" s="8" t="s">
        <v>47</v>
      </c>
      <c r="E6" s="8" t="s">
        <v>48</v>
      </c>
      <c r="F6" s="8" t="s">
        <v>11</v>
      </c>
      <c r="G6" s="8" t="s">
        <v>49</v>
      </c>
      <c r="H6" s="8" t="s">
        <v>12</v>
      </c>
      <c r="I6" s="8" t="s">
        <v>5</v>
      </c>
      <c r="J6" s="1"/>
      <c r="K6" s="1"/>
      <c r="L6" s="1"/>
      <c r="M6" s="1"/>
      <c r="N6" s="1"/>
      <c r="O6" s="1"/>
      <c r="P6" s="1"/>
      <c r="Q6" s="1"/>
      <c r="R6" s="1"/>
      <c r="S6" s="1"/>
      <c r="T6" s="1"/>
      <c r="U6" s="1"/>
      <c r="V6" s="1"/>
      <c r="W6" s="1"/>
      <c r="X6" s="1"/>
      <c r="Y6" s="1"/>
      <c r="Z6" s="1"/>
    </row>
    <row r="7" ht="15.0" customHeight="1">
      <c r="A7" s="1"/>
      <c r="B7" s="11">
        <v>1.0</v>
      </c>
      <c r="C7" s="19" t="s">
        <v>50</v>
      </c>
      <c r="D7" s="27"/>
      <c r="E7" s="27"/>
      <c r="F7" s="27"/>
      <c r="G7" s="28"/>
      <c r="H7" s="29"/>
      <c r="I7" s="29">
        <f>I8+I15</f>
        <v>2400000</v>
      </c>
      <c r="J7" s="1"/>
      <c r="K7" s="1"/>
      <c r="L7" s="1"/>
      <c r="M7" s="1"/>
      <c r="N7" s="1"/>
      <c r="O7" s="1"/>
      <c r="P7" s="1"/>
      <c r="Q7" s="1"/>
      <c r="R7" s="1"/>
      <c r="S7" s="1"/>
      <c r="T7" s="1"/>
      <c r="U7" s="1"/>
      <c r="V7" s="1"/>
      <c r="W7" s="1"/>
      <c r="X7" s="1"/>
      <c r="Y7" s="1"/>
      <c r="Z7" s="1"/>
    </row>
    <row r="8" ht="14.25" customHeight="1">
      <c r="A8" s="1"/>
      <c r="B8" s="13" t="s">
        <v>51</v>
      </c>
      <c r="C8" s="17" t="s">
        <v>52</v>
      </c>
      <c r="D8" s="13"/>
      <c r="E8" s="13"/>
      <c r="F8" s="13"/>
      <c r="G8" s="30"/>
      <c r="H8" s="14"/>
      <c r="I8" s="14">
        <f>I9</f>
        <v>1700000</v>
      </c>
      <c r="J8" s="1"/>
      <c r="K8" s="1"/>
      <c r="L8" s="1"/>
      <c r="M8" s="1"/>
      <c r="N8" s="1"/>
      <c r="O8" s="1"/>
      <c r="P8" s="1"/>
      <c r="Q8" s="1"/>
      <c r="R8" s="1"/>
      <c r="S8" s="1"/>
      <c r="T8" s="1"/>
      <c r="U8" s="1"/>
      <c r="V8" s="1"/>
      <c r="W8" s="1"/>
      <c r="X8" s="1"/>
      <c r="Y8" s="1"/>
      <c r="Z8" s="1"/>
    </row>
    <row r="9" ht="14.25" customHeight="1">
      <c r="A9" s="1"/>
      <c r="B9" s="13" t="s">
        <v>53</v>
      </c>
      <c r="C9" s="17" t="s">
        <v>54</v>
      </c>
      <c r="D9" s="13"/>
      <c r="E9" s="13"/>
      <c r="F9" s="13"/>
      <c r="G9" s="30"/>
      <c r="H9" s="14" t="str">
        <f>VLOOKUP(D10,Datos!$B$8:$E$21,4,)</f>
        <v/>
      </c>
      <c r="I9" s="14">
        <f>SUM(I10:I14)</f>
        <v>1700000</v>
      </c>
      <c r="J9" s="1"/>
      <c r="K9" s="1"/>
      <c r="L9" s="1"/>
      <c r="M9" s="1"/>
      <c r="N9" s="1"/>
      <c r="O9" s="1"/>
      <c r="P9" s="1"/>
      <c r="Q9" s="1"/>
      <c r="R9" s="1"/>
      <c r="S9" s="1"/>
      <c r="T9" s="1"/>
      <c r="U9" s="1"/>
      <c r="V9" s="1"/>
      <c r="W9" s="1"/>
      <c r="X9" s="1"/>
      <c r="Y9" s="1"/>
      <c r="Z9" s="1"/>
    </row>
    <row r="10" ht="14.25" customHeight="1">
      <c r="A10" s="1"/>
      <c r="B10" s="13"/>
      <c r="C10" s="13"/>
      <c r="D10" s="18" t="s">
        <v>76</v>
      </c>
      <c r="E10" s="31" t="str">
        <f>VLOOKUP(D10,Datos!$B$8:$E$21,2,)</f>
        <v>Materiales</v>
      </c>
      <c r="F10" s="31" t="str">
        <f>VLOOKUP(D10,Datos!$B$8:$E$21,3,)</f>
        <v>Cantidad</v>
      </c>
      <c r="G10" s="32">
        <v>1.0</v>
      </c>
      <c r="H10" s="41">
        <f>VLOOKUP(D10,Datos!$B$8:$G$29,6,FALSE())</f>
        <v>700000</v>
      </c>
      <c r="I10" s="14">
        <f t="shared" ref="I10:I14" si="1">H10*G10</f>
        <v>700000</v>
      </c>
      <c r="J10" s="1"/>
      <c r="K10" s="1"/>
      <c r="L10" s="1"/>
      <c r="M10" s="1"/>
      <c r="N10" s="1"/>
      <c r="O10" s="1"/>
      <c r="P10" s="1"/>
      <c r="Q10" s="1"/>
      <c r="R10" s="1"/>
      <c r="S10" s="1"/>
      <c r="T10" s="1"/>
      <c r="U10" s="1"/>
      <c r="V10" s="1"/>
      <c r="W10" s="1"/>
      <c r="X10" s="1"/>
      <c r="Y10" s="1"/>
      <c r="Z10" s="1"/>
    </row>
    <row r="11" ht="14.25" customHeight="1">
      <c r="A11" s="1"/>
      <c r="B11" s="13"/>
      <c r="C11" s="13"/>
      <c r="D11" s="18" t="s">
        <v>79</v>
      </c>
      <c r="E11" s="31" t="str">
        <f>VLOOKUP(D11,Datos!$B$8:$E$21,2,)</f>
        <v>Materiales</v>
      </c>
      <c r="F11" s="31" t="str">
        <f>VLOOKUP(D11,Datos!$B$8:$E$21,3,)</f>
        <v>Cantidad</v>
      </c>
      <c r="G11" s="32">
        <v>1.0</v>
      </c>
      <c r="H11" s="41">
        <f>VLOOKUP(D11,Datos!$B$8:$G$29,6,FALSE())</f>
        <v>400000</v>
      </c>
      <c r="I11" s="14">
        <f t="shared" si="1"/>
        <v>400000</v>
      </c>
      <c r="J11" s="1"/>
      <c r="K11" s="1"/>
      <c r="L11" s="1"/>
      <c r="M11" s="1"/>
      <c r="N11" s="1"/>
      <c r="O11" s="1"/>
      <c r="P11" s="1"/>
      <c r="Q11" s="1"/>
      <c r="R11" s="1"/>
      <c r="S11" s="1"/>
      <c r="T11" s="1"/>
      <c r="U11" s="1"/>
      <c r="V11" s="1"/>
      <c r="W11" s="1"/>
      <c r="X11" s="1"/>
      <c r="Y11" s="1"/>
      <c r="Z11" s="1"/>
    </row>
    <row r="12" ht="14.25" customHeight="1">
      <c r="A12" s="1"/>
      <c r="B12" s="13"/>
      <c r="C12" s="13"/>
      <c r="D12" s="18" t="s">
        <v>23</v>
      </c>
      <c r="E12" s="31" t="str">
        <f>VLOOKUP(D12,Datos!$B$8:$G$29,2,FALSE())</f>
        <v>Materiales</v>
      </c>
      <c r="F12" s="31" t="str">
        <f>VLOOKUP(D12,Datos!$B$8:$G$29,3,FALSE())</f>
        <v>Cantidad</v>
      </c>
      <c r="G12" s="32">
        <v>1.0</v>
      </c>
      <c r="H12" s="41">
        <f>VLOOKUP(D12,Datos!$B$8:$G$29,6,FALSE())</f>
        <v>200000</v>
      </c>
      <c r="I12" s="14">
        <f t="shared" si="1"/>
        <v>200000</v>
      </c>
      <c r="J12" s="1"/>
      <c r="K12" s="1"/>
      <c r="L12" s="1"/>
      <c r="M12" s="1"/>
      <c r="N12" s="1"/>
      <c r="O12" s="1"/>
      <c r="P12" s="1"/>
      <c r="Q12" s="1"/>
      <c r="R12" s="1"/>
      <c r="S12" s="1"/>
      <c r="T12" s="1"/>
      <c r="U12" s="1"/>
      <c r="V12" s="1"/>
      <c r="W12" s="1"/>
      <c r="X12" s="1"/>
      <c r="Y12" s="1"/>
      <c r="Z12" s="1"/>
    </row>
    <row r="13" ht="14.25" customHeight="1">
      <c r="A13" s="1"/>
      <c r="B13" s="13"/>
      <c r="C13" s="13"/>
      <c r="D13" s="18" t="s">
        <v>29</v>
      </c>
      <c r="E13" s="31" t="str">
        <f>VLOOKUP(D13,Datos!$B$8:$G$29,2,FALSE())</f>
        <v>Servicios Técnicos</v>
      </c>
      <c r="F13" s="31" t="str">
        <f>VLOOKUP(D12,Datos!$B$8:$G$29,3,FALSE())</f>
        <v>Cantidad</v>
      </c>
      <c r="G13" s="32">
        <v>1.0</v>
      </c>
      <c r="H13" s="41">
        <f>VLOOKUP(D13,Datos!$B$8:$G$29,6,FALSE())</f>
        <v>200000</v>
      </c>
      <c r="I13" s="14">
        <f t="shared" si="1"/>
        <v>200000</v>
      </c>
      <c r="J13" s="1"/>
      <c r="K13" s="1"/>
      <c r="L13" s="1"/>
      <c r="M13" s="1"/>
      <c r="N13" s="1"/>
      <c r="O13" s="1"/>
      <c r="P13" s="1"/>
      <c r="Q13" s="1"/>
      <c r="R13" s="1"/>
      <c r="S13" s="1"/>
      <c r="T13" s="1"/>
      <c r="U13" s="1"/>
      <c r="V13" s="1"/>
      <c r="W13" s="1"/>
      <c r="X13" s="1"/>
      <c r="Y13" s="1"/>
      <c r="Z13" s="1"/>
    </row>
    <row r="14" ht="14.25" customHeight="1">
      <c r="A14" s="1"/>
      <c r="B14" s="13"/>
      <c r="C14" s="13"/>
      <c r="D14" s="18" t="s">
        <v>21</v>
      </c>
      <c r="E14" s="31" t="str">
        <f>VLOOKUP(D14,Datos!$B$8:$G$29,2,FALSE())</f>
        <v>Materiales</v>
      </c>
      <c r="F14" s="31" t="str">
        <f>VLOOKUP(D13,Datos!$B$8:$G$29,3,FALSE())</f>
        <v>Cantidad</v>
      </c>
      <c r="G14" s="32">
        <v>1.0</v>
      </c>
      <c r="H14" s="41">
        <f>VLOOKUP(D14,Datos!$B$8:$G$29,6,FALSE())</f>
        <v>200000</v>
      </c>
      <c r="I14" s="14">
        <f t="shared" si="1"/>
        <v>200000</v>
      </c>
      <c r="J14" s="1"/>
      <c r="K14" s="1"/>
      <c r="L14" s="1"/>
      <c r="M14" s="1"/>
      <c r="N14" s="1"/>
      <c r="O14" s="1"/>
      <c r="P14" s="1"/>
      <c r="Q14" s="1"/>
      <c r="R14" s="1"/>
      <c r="S14" s="1"/>
      <c r="T14" s="1"/>
      <c r="U14" s="1"/>
      <c r="V14" s="1"/>
      <c r="W14" s="1"/>
      <c r="X14" s="1"/>
      <c r="Y14" s="1"/>
      <c r="Z14" s="1"/>
    </row>
    <row r="15" ht="14.25" customHeight="1">
      <c r="A15" s="1"/>
      <c r="B15" s="36">
        <v>46054.0</v>
      </c>
      <c r="C15" s="17" t="s">
        <v>55</v>
      </c>
      <c r="D15" s="13"/>
      <c r="E15" s="13"/>
      <c r="F15" s="13"/>
      <c r="G15" s="30"/>
      <c r="H15" s="14"/>
      <c r="I15" s="14">
        <f>I16</f>
        <v>700000</v>
      </c>
      <c r="J15" s="1"/>
      <c r="K15" s="1"/>
      <c r="L15" s="1"/>
      <c r="M15" s="1"/>
      <c r="N15" s="1"/>
      <c r="O15" s="1"/>
      <c r="P15" s="1"/>
      <c r="Q15" s="1"/>
      <c r="R15" s="1"/>
      <c r="S15" s="1"/>
      <c r="T15" s="1"/>
      <c r="U15" s="1"/>
      <c r="V15" s="1"/>
      <c r="W15" s="1"/>
      <c r="X15" s="1"/>
      <c r="Y15" s="1"/>
      <c r="Z15" s="1"/>
    </row>
    <row r="16" ht="14.25" customHeight="1">
      <c r="A16" s="1"/>
      <c r="B16" s="37" t="s">
        <v>56</v>
      </c>
      <c r="C16" s="17" t="s">
        <v>57</v>
      </c>
      <c r="E16" s="31"/>
      <c r="F16" s="31"/>
      <c r="G16" s="30"/>
      <c r="H16" s="14"/>
      <c r="I16" s="14">
        <f>I17+I18</f>
        <v>700000</v>
      </c>
      <c r="J16" s="1"/>
      <c r="K16" s="1"/>
      <c r="L16" s="1"/>
      <c r="M16" s="1"/>
      <c r="N16" s="1"/>
      <c r="O16" s="1"/>
      <c r="P16" s="1"/>
      <c r="Q16" s="1"/>
      <c r="R16" s="1"/>
      <c r="S16" s="1"/>
      <c r="T16" s="1"/>
      <c r="U16" s="1"/>
      <c r="V16" s="1"/>
      <c r="W16" s="1"/>
      <c r="X16" s="1"/>
      <c r="Y16" s="1"/>
      <c r="Z16" s="1"/>
    </row>
    <row r="17" ht="14.25" customHeight="1">
      <c r="A17" s="1"/>
      <c r="B17" s="1"/>
      <c r="C17" s="13"/>
      <c r="D17" s="18" t="s">
        <v>27</v>
      </c>
      <c r="E17" s="31" t="str">
        <f>VLOOKUP(D17,Datos!$B$8:$E$21,2,)</f>
        <v>Licencias</v>
      </c>
      <c r="F17" s="31" t="str">
        <f>VLOOKUP(D17,Datos!$B$8:$E$21,3,)</f>
        <v>Cantidad</v>
      </c>
      <c r="G17" s="32">
        <v>1.0</v>
      </c>
      <c r="H17" s="14">
        <f>VLOOKUP(D17,Datos!$B$8:$G$29,6,FALSE())</f>
        <v>300000</v>
      </c>
      <c r="I17" s="14">
        <f t="shared" ref="I17:I18" si="2">G17*H17</f>
        <v>300000</v>
      </c>
      <c r="J17" s="1"/>
      <c r="K17" s="1"/>
      <c r="L17" s="1"/>
      <c r="M17" s="1"/>
      <c r="N17" s="1"/>
      <c r="O17" s="1"/>
      <c r="P17" s="1"/>
      <c r="Q17" s="1"/>
      <c r="R17" s="1"/>
      <c r="S17" s="1"/>
      <c r="T17" s="1"/>
      <c r="U17" s="1"/>
      <c r="V17" s="1"/>
      <c r="W17" s="1"/>
      <c r="X17" s="1"/>
      <c r="Y17" s="1"/>
      <c r="Z17" s="1"/>
    </row>
    <row r="18" ht="14.25" customHeight="1">
      <c r="A18" s="1"/>
      <c r="B18" s="1"/>
      <c r="C18" s="13"/>
      <c r="D18" s="17" t="s">
        <v>25</v>
      </c>
      <c r="E18" s="31" t="str">
        <f>VLOOKUP(D18,Datos!$B$8:$E$21,2,)</f>
        <v>Materiales</v>
      </c>
      <c r="F18" s="31" t="str">
        <f>VLOOKUP(D18,Datos!$B$8:$E$21,3,)</f>
        <v>Cantidad</v>
      </c>
      <c r="G18" s="32">
        <v>1.0</v>
      </c>
      <c r="H18" s="14">
        <f>VLOOKUP(D18,Datos!$B$8:$G$29,6,FALSE())</f>
        <v>400000</v>
      </c>
      <c r="I18" s="14">
        <f t="shared" si="2"/>
        <v>400000</v>
      </c>
      <c r="J18" s="1"/>
      <c r="K18" s="1"/>
      <c r="L18" s="1"/>
      <c r="M18" s="1"/>
      <c r="N18" s="1"/>
      <c r="O18" s="1"/>
      <c r="P18" s="1"/>
      <c r="Q18" s="1"/>
      <c r="R18" s="1"/>
      <c r="S18" s="1"/>
      <c r="T18" s="1"/>
      <c r="U18" s="1"/>
      <c r="V18" s="1"/>
      <c r="W18" s="1"/>
      <c r="X18" s="1"/>
      <c r="Y18" s="1"/>
      <c r="Z18" s="1"/>
    </row>
    <row r="19" ht="15.0" customHeight="1">
      <c r="A19" s="1"/>
      <c r="B19" s="11">
        <v>2.0</v>
      </c>
      <c r="C19" s="19" t="s">
        <v>58</v>
      </c>
      <c r="D19" s="27"/>
      <c r="E19" s="27"/>
      <c r="F19" s="27"/>
      <c r="G19" s="28"/>
      <c r="H19" s="29"/>
      <c r="I19" s="29">
        <f>I20+I26</f>
        <v>22300000</v>
      </c>
      <c r="J19" s="1"/>
      <c r="K19" s="1"/>
      <c r="L19" s="1"/>
      <c r="M19" s="1"/>
      <c r="N19" s="1"/>
      <c r="O19" s="1"/>
      <c r="P19" s="1"/>
      <c r="Q19" s="1"/>
      <c r="R19" s="1"/>
      <c r="S19" s="1"/>
      <c r="T19" s="1"/>
      <c r="U19" s="1"/>
      <c r="V19" s="1"/>
      <c r="W19" s="1"/>
      <c r="X19" s="1"/>
      <c r="Y19" s="1"/>
      <c r="Z19" s="1"/>
    </row>
    <row r="20" ht="14.25" customHeight="1">
      <c r="A20" s="1"/>
      <c r="B20" s="13" t="s">
        <v>59</v>
      </c>
      <c r="C20" s="17" t="s">
        <v>60</v>
      </c>
      <c r="D20" s="13"/>
      <c r="E20" s="13"/>
      <c r="F20" s="13"/>
      <c r="G20" s="30"/>
      <c r="H20" s="14"/>
      <c r="I20" s="14">
        <f>I21</f>
        <v>20700000</v>
      </c>
      <c r="J20" s="1"/>
      <c r="K20" s="1"/>
      <c r="L20" s="1"/>
      <c r="M20" s="1"/>
      <c r="N20" s="1"/>
      <c r="O20" s="1"/>
      <c r="P20" s="1"/>
      <c r="Q20" s="1"/>
      <c r="R20" s="1"/>
      <c r="S20" s="1"/>
      <c r="T20" s="1"/>
      <c r="U20" s="1"/>
      <c r="V20" s="1"/>
      <c r="W20" s="1"/>
      <c r="X20" s="1"/>
      <c r="Y20" s="1"/>
      <c r="Z20" s="1"/>
    </row>
    <row r="21" ht="14.25" customHeight="1">
      <c r="A21" s="1"/>
      <c r="B21" s="13" t="s">
        <v>61</v>
      </c>
      <c r="C21" s="17" t="s">
        <v>62</v>
      </c>
      <c r="D21" s="13"/>
      <c r="E21" s="13"/>
      <c r="F21" s="13"/>
      <c r="G21" s="30"/>
      <c r="H21" s="14"/>
      <c r="I21" s="14">
        <f>SUM(I22:I25)</f>
        <v>20700000</v>
      </c>
      <c r="J21" s="1"/>
      <c r="K21" s="1"/>
      <c r="L21" s="1"/>
      <c r="M21" s="1"/>
      <c r="N21" s="1"/>
      <c r="O21" s="1"/>
      <c r="P21" s="1"/>
      <c r="Q21" s="1"/>
      <c r="R21" s="1"/>
      <c r="S21" s="1"/>
      <c r="T21" s="1"/>
      <c r="U21" s="1"/>
      <c r="V21" s="1"/>
      <c r="W21" s="1"/>
      <c r="X21" s="1"/>
      <c r="Y21" s="1"/>
      <c r="Z21" s="1"/>
    </row>
    <row r="22" ht="14.25" customHeight="1">
      <c r="A22" s="1"/>
      <c r="B22" s="13"/>
      <c r="C22" s="13"/>
      <c r="D22" s="18" t="s">
        <v>15</v>
      </c>
      <c r="E22" s="31" t="str">
        <f>VLOOKUP(D22,Datos!$B$8:$E$21,2,)</f>
        <v>Labor (Personal)</v>
      </c>
      <c r="F22" s="31" t="str">
        <f>VLOOKUP(D22,Datos!$B$8:$E$21,3,)</f>
        <v>Meses</v>
      </c>
      <c r="G22" s="32">
        <v>6.0</v>
      </c>
      <c r="H22" s="14">
        <f>VLOOKUP(D22,Datos!$B$8:$G$29,6,FALSE())</f>
        <v>850000</v>
      </c>
      <c r="I22" s="14">
        <f t="shared" ref="I22:I25" si="3">G22*H22</f>
        <v>5100000</v>
      </c>
      <c r="J22" s="1"/>
      <c r="K22" s="1"/>
      <c r="L22" s="1"/>
      <c r="M22" s="1"/>
      <c r="N22" s="1"/>
      <c r="O22" s="1"/>
      <c r="P22" s="1"/>
      <c r="Q22" s="1"/>
      <c r="R22" s="1"/>
      <c r="S22" s="1"/>
      <c r="T22" s="1"/>
      <c r="U22" s="1"/>
      <c r="V22" s="1"/>
      <c r="W22" s="1"/>
      <c r="X22" s="1"/>
      <c r="Y22" s="1"/>
      <c r="Z22" s="1"/>
    </row>
    <row r="23" ht="14.25" customHeight="1">
      <c r="A23" s="1"/>
      <c r="B23" s="13"/>
      <c r="C23" s="13"/>
      <c r="D23" s="18" t="s">
        <v>16</v>
      </c>
      <c r="E23" s="31" t="str">
        <f>VLOOKUP(D23,Datos!$B$8:$E$21,2,)</f>
        <v>Labor (Personal)</v>
      </c>
      <c r="F23" s="31" t="str">
        <f>VLOOKUP(D23,Datos!$B$8:$E$21,3,)</f>
        <v>Meses</v>
      </c>
      <c r="G23" s="32">
        <v>6.0</v>
      </c>
      <c r="H23" s="14">
        <f>VLOOKUP(D23,Datos!$B$8:$G$29,6,FALSE())</f>
        <v>900000</v>
      </c>
      <c r="I23" s="14">
        <f t="shared" si="3"/>
        <v>5400000</v>
      </c>
      <c r="J23" s="1"/>
      <c r="K23" s="1"/>
      <c r="L23" s="1"/>
      <c r="M23" s="1"/>
      <c r="N23" s="1"/>
      <c r="O23" s="1"/>
      <c r="P23" s="1"/>
      <c r="Q23" s="1"/>
      <c r="R23" s="1"/>
      <c r="S23" s="1"/>
      <c r="T23" s="1"/>
      <c r="U23" s="1"/>
      <c r="V23" s="1"/>
      <c r="W23" s="1"/>
      <c r="X23" s="1"/>
      <c r="Y23" s="1"/>
      <c r="Z23" s="1"/>
    </row>
    <row r="24" ht="14.25" customHeight="1">
      <c r="A24" s="1"/>
      <c r="B24" s="13"/>
      <c r="C24" s="13"/>
      <c r="D24" s="18" t="s">
        <v>17</v>
      </c>
      <c r="E24" s="31" t="str">
        <f>VLOOKUP(D24,Datos!$B$8:$E$21,2,)</f>
        <v>Labor (Personal)</v>
      </c>
      <c r="F24" s="31" t="str">
        <f>VLOOKUP(D24,Datos!$B$8:$E$21,3,)</f>
        <v>Meses</v>
      </c>
      <c r="G24" s="32">
        <v>6.0</v>
      </c>
      <c r="H24" s="14">
        <f>VLOOKUP(D24,Datos!$B$8:$G$29,6,FALSE())</f>
        <v>900000</v>
      </c>
      <c r="I24" s="14">
        <f t="shared" si="3"/>
        <v>5400000</v>
      </c>
      <c r="J24" s="1"/>
      <c r="K24" s="1"/>
      <c r="L24" s="1"/>
      <c r="M24" s="1"/>
      <c r="N24" s="1"/>
      <c r="O24" s="1"/>
      <c r="P24" s="1"/>
      <c r="Q24" s="1"/>
      <c r="R24" s="1"/>
      <c r="S24" s="1"/>
      <c r="T24" s="1"/>
      <c r="U24" s="1"/>
      <c r="V24" s="1"/>
      <c r="W24" s="1"/>
      <c r="X24" s="1"/>
      <c r="Y24" s="1"/>
      <c r="Z24" s="1"/>
    </row>
    <row r="25" ht="14.25" customHeight="1">
      <c r="A25" s="1"/>
      <c r="B25" s="13"/>
      <c r="C25" s="13"/>
      <c r="D25" s="18" t="s">
        <v>18</v>
      </c>
      <c r="E25" s="31" t="str">
        <f>VLOOKUP(D25,Datos!$B$8:$E$21,2,)</f>
        <v>Labor (Personal)</v>
      </c>
      <c r="F25" s="31" t="str">
        <f>VLOOKUP(D25,Datos!$B$8:$E$21,3,)</f>
        <v>Meses</v>
      </c>
      <c r="G25" s="32">
        <v>6.0</v>
      </c>
      <c r="H25" s="14">
        <f>VLOOKUP(D25,Datos!$B$8:$G$29,6,FALSE())</f>
        <v>800000</v>
      </c>
      <c r="I25" s="14">
        <f t="shared" si="3"/>
        <v>4800000</v>
      </c>
      <c r="J25" s="1"/>
      <c r="K25" s="1"/>
      <c r="L25" s="1"/>
      <c r="M25" s="1"/>
      <c r="N25" s="1"/>
      <c r="O25" s="1"/>
      <c r="P25" s="1"/>
      <c r="Q25" s="1"/>
      <c r="R25" s="1"/>
      <c r="S25" s="1"/>
      <c r="T25" s="1"/>
      <c r="U25" s="1"/>
      <c r="V25" s="1"/>
      <c r="W25" s="1"/>
      <c r="X25" s="1"/>
      <c r="Y25" s="1"/>
      <c r="Z25" s="1"/>
    </row>
    <row r="26" ht="14.25" customHeight="1">
      <c r="A26" s="1"/>
      <c r="B26" s="38">
        <v>46055.0</v>
      </c>
      <c r="C26" s="17" t="s">
        <v>63</v>
      </c>
      <c r="D26" s="13"/>
      <c r="E26" s="13"/>
      <c r="F26" s="13"/>
      <c r="G26" s="30"/>
      <c r="H26" s="14"/>
      <c r="I26" s="14">
        <f>I27+I30+I32</f>
        <v>1600000</v>
      </c>
      <c r="J26" s="1"/>
      <c r="K26" s="1"/>
      <c r="L26" s="1"/>
      <c r="M26" s="1"/>
      <c r="N26" s="1"/>
      <c r="O26" s="1"/>
      <c r="P26" s="1"/>
      <c r="Q26" s="1"/>
      <c r="R26" s="1"/>
      <c r="S26" s="1"/>
      <c r="T26" s="1"/>
      <c r="U26" s="1"/>
      <c r="V26" s="1"/>
      <c r="W26" s="1"/>
      <c r="X26" s="1"/>
      <c r="Y26" s="1"/>
      <c r="Z26" s="1"/>
    </row>
    <row r="27" ht="14.25" customHeight="1">
      <c r="A27" s="1"/>
      <c r="B27" s="39" t="s">
        <v>64</v>
      </c>
      <c r="C27" s="17" t="s">
        <v>65</v>
      </c>
      <c r="D27" s="13"/>
      <c r="E27" s="13"/>
      <c r="F27" s="13"/>
      <c r="G27" s="30"/>
      <c r="H27" s="14"/>
      <c r="I27" s="14">
        <f>I28+I29</f>
        <v>800000</v>
      </c>
      <c r="J27" s="1"/>
      <c r="K27" s="1"/>
      <c r="L27" s="1"/>
      <c r="M27" s="1"/>
      <c r="N27" s="1"/>
      <c r="O27" s="1"/>
      <c r="P27" s="1"/>
      <c r="Q27" s="1"/>
      <c r="R27" s="1"/>
      <c r="S27" s="1"/>
      <c r="T27" s="1"/>
      <c r="U27" s="1"/>
      <c r="V27" s="1"/>
      <c r="W27" s="1"/>
      <c r="X27" s="1"/>
      <c r="Y27" s="1"/>
      <c r="Z27" s="1"/>
    </row>
    <row r="28" ht="14.25" customHeight="1">
      <c r="A28" s="1"/>
      <c r="B28" s="13"/>
      <c r="C28" s="13"/>
      <c r="D28" s="18" t="s">
        <v>24</v>
      </c>
      <c r="E28" s="31" t="str">
        <f>VLOOKUP(D28,Datos!$B$8:$E$21,2,)</f>
        <v>Materiales</v>
      </c>
      <c r="F28" s="31" t="str">
        <f>VLOOKUP(D28,Datos!$B$8:$E$21,3,)</f>
        <v>Cantidad</v>
      </c>
      <c r="G28" s="32">
        <v>1.0</v>
      </c>
      <c r="H28" s="14">
        <f>VLOOKUP(D28,Datos!$B$8:$G$29,6,FALSE())</f>
        <v>400000</v>
      </c>
      <c r="I28" s="14">
        <f>G28*H28</f>
        <v>400000</v>
      </c>
      <c r="J28" s="1"/>
      <c r="K28" s="1"/>
      <c r="L28" s="1"/>
      <c r="M28" s="1"/>
      <c r="N28" s="1"/>
      <c r="O28" s="1"/>
      <c r="P28" s="1"/>
      <c r="Q28" s="1"/>
      <c r="R28" s="1"/>
      <c r="S28" s="1"/>
      <c r="T28" s="1"/>
      <c r="U28" s="1"/>
      <c r="V28" s="1"/>
      <c r="W28" s="1"/>
      <c r="X28" s="1"/>
      <c r="Y28" s="1"/>
      <c r="Z28" s="1"/>
    </row>
    <row r="29" ht="14.25" customHeight="1">
      <c r="A29" s="1"/>
      <c r="B29" s="13"/>
      <c r="C29" s="13"/>
      <c r="D29" s="18" t="s">
        <v>80</v>
      </c>
      <c r="E29" s="31" t="str">
        <f>VLOOKUP(D29,Datos!$B$8:$G$29,2,FALSE())</f>
        <v>Servicios Técnicos</v>
      </c>
      <c r="F29" s="31" t="str">
        <f>VLOOKUP(D29,Datos!$B$8:$G$29,3,FALSE())</f>
        <v>Cantidad</v>
      </c>
      <c r="G29" s="32">
        <v>1.0</v>
      </c>
      <c r="H29" s="14">
        <f>VLOOKUP(D29,Datos!$B$8:$G$29,6,FALSE())</f>
        <v>400000</v>
      </c>
      <c r="I29" s="14">
        <f>H29*G29</f>
        <v>400000</v>
      </c>
      <c r="J29" s="1"/>
      <c r="K29" s="1"/>
      <c r="L29" s="1"/>
      <c r="M29" s="1"/>
      <c r="N29" s="1"/>
      <c r="O29" s="1"/>
      <c r="P29" s="1"/>
      <c r="Q29" s="1"/>
      <c r="R29" s="1"/>
      <c r="S29" s="1"/>
      <c r="T29" s="1"/>
      <c r="U29" s="1"/>
      <c r="V29" s="1"/>
      <c r="W29" s="1"/>
      <c r="X29" s="1"/>
      <c r="Y29" s="1"/>
      <c r="Z29" s="1"/>
    </row>
    <row r="30" ht="14.25" customHeight="1">
      <c r="A30" s="1"/>
      <c r="B30" s="39" t="s">
        <v>66</v>
      </c>
      <c r="C30" s="17" t="s">
        <v>67</v>
      </c>
      <c r="D30" s="13"/>
      <c r="E30" s="13"/>
      <c r="F30" s="13"/>
      <c r="G30" s="30"/>
      <c r="H30" s="14"/>
      <c r="I30" s="14">
        <f>I31</f>
        <v>500000</v>
      </c>
      <c r="J30" s="1"/>
      <c r="K30" s="1"/>
      <c r="L30" s="1"/>
      <c r="M30" s="1"/>
      <c r="N30" s="1"/>
      <c r="O30" s="1"/>
      <c r="P30" s="1"/>
      <c r="Q30" s="1"/>
      <c r="R30" s="1"/>
      <c r="S30" s="1"/>
      <c r="T30" s="1"/>
      <c r="U30" s="1"/>
      <c r="V30" s="1"/>
      <c r="W30" s="1"/>
      <c r="X30" s="1"/>
      <c r="Y30" s="1"/>
      <c r="Z30" s="1"/>
    </row>
    <row r="31" ht="14.25" customHeight="1">
      <c r="A31" s="1"/>
      <c r="B31" s="13"/>
      <c r="C31" s="13"/>
      <c r="D31" s="18" t="s">
        <v>30</v>
      </c>
      <c r="E31" s="31" t="str">
        <f>VLOOKUP(D31,Datos!$B$8:$G$29,2,FALSE())</f>
        <v>Servicios Técnicos</v>
      </c>
      <c r="F31" s="31" t="str">
        <f>VLOOKUP(D31,Datos!$B$8:$G$29,3,FALSE())</f>
        <v>Cantidad</v>
      </c>
      <c r="G31" s="32">
        <v>1.0</v>
      </c>
      <c r="H31" s="14">
        <f>VLOOKUP(D31,Datos!$B$8:$G$29,6,FALSE())</f>
        <v>500000</v>
      </c>
      <c r="I31" s="14">
        <f>G31*H31</f>
        <v>500000</v>
      </c>
      <c r="J31" s="1"/>
      <c r="K31" s="1"/>
      <c r="L31" s="1"/>
      <c r="M31" s="1"/>
      <c r="N31" s="1"/>
      <c r="O31" s="1"/>
      <c r="P31" s="1"/>
      <c r="Q31" s="1"/>
      <c r="R31" s="1"/>
      <c r="S31" s="1"/>
      <c r="T31" s="1"/>
      <c r="U31" s="1"/>
      <c r="V31" s="1"/>
      <c r="W31" s="1"/>
      <c r="X31" s="1"/>
      <c r="Y31" s="1"/>
      <c r="Z31" s="1"/>
    </row>
    <row r="32" ht="14.25" customHeight="1">
      <c r="A32" s="1"/>
      <c r="B32" s="39" t="s">
        <v>68</v>
      </c>
      <c r="C32" s="17" t="s">
        <v>69</v>
      </c>
      <c r="D32" s="13"/>
      <c r="E32" s="13"/>
      <c r="F32" s="13"/>
      <c r="G32" s="30"/>
      <c r="H32" s="14"/>
      <c r="I32" s="14">
        <f>I33</f>
        <v>300000</v>
      </c>
      <c r="J32" s="1"/>
      <c r="K32" s="1"/>
      <c r="L32" s="1"/>
      <c r="M32" s="1"/>
      <c r="N32" s="1"/>
      <c r="O32" s="1"/>
      <c r="P32" s="1"/>
      <c r="Q32" s="1"/>
      <c r="R32" s="1"/>
      <c r="S32" s="1"/>
      <c r="T32" s="1"/>
      <c r="U32" s="1"/>
      <c r="V32" s="1"/>
      <c r="W32" s="1"/>
      <c r="X32" s="1"/>
      <c r="Y32" s="1"/>
      <c r="Z32" s="1"/>
    </row>
    <row r="33" ht="14.25" customHeight="1">
      <c r="A33" s="1"/>
      <c r="B33" s="13"/>
      <c r="C33" s="13"/>
      <c r="D33" s="18" t="s">
        <v>81</v>
      </c>
      <c r="E33" s="31" t="str">
        <f>VLOOKUP(D33,Datos!$B$8:$G$29,2,FALSE())</f>
        <v>Servicios Técnicos</v>
      </c>
      <c r="F33" s="31" t="str">
        <f>VLOOKUP(D33,Datos!$B$8:$G$29,3,FALSE())</f>
        <v>Cantidad</v>
      </c>
      <c r="G33" s="32">
        <v>1.0</v>
      </c>
      <c r="H33" s="14">
        <f>VLOOKUP(D33,Datos!$B$8:$G$29,6,FALSE())</f>
        <v>300000</v>
      </c>
      <c r="I33" s="14">
        <f>G33*H33</f>
        <v>300000</v>
      </c>
      <c r="J33" s="1"/>
      <c r="K33" s="1"/>
      <c r="L33" s="1"/>
      <c r="M33" s="1"/>
      <c r="N33" s="1"/>
      <c r="O33" s="1"/>
      <c r="P33" s="1"/>
      <c r="Q33" s="1"/>
      <c r="R33" s="1"/>
      <c r="S33" s="1"/>
      <c r="T33" s="1"/>
      <c r="U33" s="1"/>
      <c r="V33" s="1"/>
      <c r="W33" s="1"/>
      <c r="X33" s="1"/>
      <c r="Y33" s="1"/>
      <c r="Z33" s="1"/>
    </row>
    <row r="34" ht="14.25" customHeight="1">
      <c r="A34" s="1"/>
      <c r="B34" s="19">
        <v>3.0</v>
      </c>
      <c r="C34" s="19" t="s">
        <v>58</v>
      </c>
      <c r="D34" s="27"/>
      <c r="E34" s="27"/>
      <c r="F34" s="27"/>
      <c r="G34" s="28"/>
      <c r="H34" s="29"/>
      <c r="I34" s="29">
        <f>I35+I38</f>
        <v>5400000</v>
      </c>
      <c r="J34" s="1"/>
      <c r="K34" s="1"/>
      <c r="L34" s="1"/>
      <c r="M34" s="1"/>
      <c r="N34" s="1"/>
      <c r="O34" s="1"/>
      <c r="P34" s="1"/>
      <c r="Q34" s="1"/>
      <c r="R34" s="1"/>
      <c r="S34" s="1"/>
      <c r="T34" s="1"/>
      <c r="U34" s="1"/>
      <c r="V34" s="1"/>
      <c r="W34" s="1"/>
      <c r="X34" s="1"/>
      <c r="Y34" s="1"/>
      <c r="Z34" s="1"/>
    </row>
    <row r="35" ht="14.25" customHeight="1">
      <c r="A35" s="1"/>
      <c r="B35" s="38">
        <v>46025.0</v>
      </c>
      <c r="C35" s="17" t="s">
        <v>70</v>
      </c>
      <c r="D35" s="13"/>
      <c r="E35" s="13"/>
      <c r="F35" s="13"/>
      <c r="G35" s="30"/>
      <c r="H35" s="14"/>
      <c r="I35" s="14">
        <f>I36</f>
        <v>2700000</v>
      </c>
      <c r="J35" s="1"/>
      <c r="K35" s="1"/>
      <c r="L35" s="1"/>
      <c r="M35" s="1"/>
      <c r="N35" s="1"/>
      <c r="O35" s="1"/>
      <c r="P35" s="1"/>
      <c r="Q35" s="1"/>
      <c r="R35" s="1"/>
      <c r="S35" s="1"/>
      <c r="T35" s="1"/>
      <c r="U35" s="1"/>
      <c r="V35" s="1"/>
      <c r="W35" s="1"/>
      <c r="X35" s="1"/>
      <c r="Y35" s="1"/>
      <c r="Z35" s="1"/>
    </row>
    <row r="36" ht="14.25" customHeight="1">
      <c r="A36" s="1"/>
      <c r="B36" s="39" t="s">
        <v>71</v>
      </c>
      <c r="C36" s="17" t="s">
        <v>72</v>
      </c>
      <c r="D36" s="13"/>
      <c r="E36" s="13"/>
      <c r="F36" s="13"/>
      <c r="G36" s="30"/>
      <c r="H36" s="14"/>
      <c r="I36" s="14">
        <f>SUM(I37)</f>
        <v>2700000</v>
      </c>
      <c r="J36" s="1"/>
      <c r="K36" s="1"/>
      <c r="L36" s="1"/>
      <c r="M36" s="1"/>
      <c r="N36" s="1"/>
      <c r="O36" s="1"/>
      <c r="P36" s="1"/>
      <c r="Q36" s="1"/>
      <c r="R36" s="1"/>
      <c r="S36" s="1"/>
      <c r="T36" s="1"/>
      <c r="U36" s="1"/>
      <c r="V36" s="1"/>
      <c r="W36" s="1"/>
      <c r="X36" s="1"/>
      <c r="Y36" s="1"/>
      <c r="Z36" s="1"/>
    </row>
    <row r="37" ht="14.25" customHeight="1">
      <c r="A37" s="1"/>
      <c r="B37" s="13"/>
      <c r="C37" s="13"/>
      <c r="D37" s="18" t="s">
        <v>19</v>
      </c>
      <c r="E37" s="31" t="str">
        <f>VLOOKUP(D37,Datos!$B$8:$E$21,2,)</f>
        <v>Labor (Personal)</v>
      </c>
      <c r="F37" s="31" t="str">
        <f>VLOOKUP(D37,Datos!$B$8:$E$21,3,)</f>
        <v>Meses</v>
      </c>
      <c r="G37" s="32">
        <v>6.0</v>
      </c>
      <c r="H37" s="14">
        <f>VLOOKUP(D37,Datos!$B$8:$G$29,6,FALSE())</f>
        <v>450000</v>
      </c>
      <c r="I37" s="14">
        <f>G37*H37</f>
        <v>2700000</v>
      </c>
      <c r="J37" s="1"/>
      <c r="K37" s="1"/>
      <c r="L37" s="1"/>
      <c r="M37" s="1"/>
      <c r="N37" s="1"/>
      <c r="O37" s="1"/>
      <c r="P37" s="1"/>
      <c r="Q37" s="1"/>
      <c r="R37" s="1"/>
      <c r="S37" s="1"/>
      <c r="T37" s="1"/>
      <c r="U37" s="1"/>
      <c r="V37" s="1"/>
      <c r="W37" s="1"/>
      <c r="X37" s="1"/>
      <c r="Y37" s="1"/>
      <c r="Z37" s="1"/>
    </row>
    <row r="38" ht="14.25" customHeight="1">
      <c r="A38" s="1"/>
      <c r="B38" s="38">
        <v>46056.0</v>
      </c>
      <c r="C38" s="17" t="s">
        <v>40</v>
      </c>
      <c r="D38" s="13"/>
      <c r="E38" s="13"/>
      <c r="F38" s="13"/>
      <c r="G38" s="30"/>
      <c r="H38" s="14"/>
      <c r="I38" s="14">
        <f>I39</f>
        <v>2700000</v>
      </c>
      <c r="J38" s="1"/>
      <c r="K38" s="1"/>
      <c r="L38" s="1"/>
      <c r="M38" s="1"/>
      <c r="N38" s="1"/>
      <c r="O38" s="1"/>
      <c r="P38" s="1"/>
      <c r="Q38" s="1"/>
      <c r="R38" s="1"/>
      <c r="S38" s="1"/>
      <c r="T38" s="1"/>
      <c r="U38" s="1"/>
      <c r="V38" s="1"/>
      <c r="W38" s="1"/>
      <c r="X38" s="1"/>
      <c r="Y38" s="1"/>
      <c r="Z38" s="1"/>
    </row>
    <row r="39" ht="14.25" customHeight="1">
      <c r="A39" s="1"/>
      <c r="B39" s="39" t="s">
        <v>73</v>
      </c>
      <c r="C39" s="17" t="s">
        <v>74</v>
      </c>
      <c r="D39" s="13"/>
      <c r="E39" s="13"/>
      <c r="F39" s="13"/>
      <c r="G39" s="30"/>
      <c r="H39" s="14"/>
      <c r="I39" s="14">
        <f>+I40+I41+I42</f>
        <v>2700000</v>
      </c>
      <c r="J39" s="1"/>
      <c r="K39" s="1"/>
      <c r="L39" s="1"/>
      <c r="M39" s="1"/>
      <c r="N39" s="1"/>
      <c r="O39" s="1"/>
      <c r="P39" s="1"/>
      <c r="Q39" s="1"/>
      <c r="R39" s="1"/>
      <c r="S39" s="1"/>
      <c r="T39" s="1"/>
      <c r="U39" s="1"/>
      <c r="V39" s="1"/>
      <c r="W39" s="1"/>
      <c r="X39" s="1"/>
      <c r="Y39" s="1"/>
      <c r="Z39" s="1"/>
    </row>
    <row r="40" ht="14.25" customHeight="1">
      <c r="A40" s="1"/>
      <c r="B40" s="39"/>
      <c r="C40" s="17"/>
      <c r="D40" s="18" t="s">
        <v>33</v>
      </c>
      <c r="E40" s="13" t="str">
        <f>VLOOKUP(D40,Datos!$B$8:$G$29,2,FALSE())</f>
        <v>Gastos Indirectos</v>
      </c>
      <c r="F40" s="13" t="str">
        <f>VLOOKUP(D40,Datos!$B$8:$G$29,3,FALSE())</f>
        <v>Meses</v>
      </c>
      <c r="G40" s="32">
        <v>6.0</v>
      </c>
      <c r="H40" s="14">
        <f>VLOOKUP(D40,Datos!$B$8:$G$29,6,FALSE())</f>
        <v>180000</v>
      </c>
      <c r="I40" s="14">
        <f t="shared" ref="I40:I42" si="4">H40*G40</f>
        <v>1080000</v>
      </c>
      <c r="J40" s="1"/>
      <c r="K40" s="1"/>
      <c r="L40" s="1"/>
      <c r="M40" s="1"/>
      <c r="N40" s="1"/>
      <c r="O40" s="1"/>
      <c r="P40" s="1"/>
      <c r="Q40" s="1"/>
      <c r="R40" s="1"/>
      <c r="S40" s="1"/>
      <c r="T40" s="1"/>
      <c r="U40" s="1"/>
      <c r="V40" s="1"/>
      <c r="W40" s="1"/>
      <c r="X40" s="1"/>
      <c r="Y40" s="1"/>
      <c r="Z40" s="1"/>
    </row>
    <row r="41" ht="14.25" customHeight="1">
      <c r="A41" s="1"/>
      <c r="B41" s="39"/>
      <c r="C41" s="17"/>
      <c r="D41" s="18" t="s">
        <v>34</v>
      </c>
      <c r="E41" s="13" t="str">
        <f>VLOOKUP(D41,Datos!$B$8:$G$29,2,FALSE())</f>
        <v>Gastos Indirectos</v>
      </c>
      <c r="F41" s="13" t="str">
        <f>VLOOKUP(D41,Datos!$B$8:$G$29,3,FALSE())</f>
        <v>Meses</v>
      </c>
      <c r="G41" s="32">
        <v>6.0</v>
      </c>
      <c r="H41" s="14">
        <f>VLOOKUP(D41,Datos!$B$8:$G$29,6,FALSE())</f>
        <v>70000</v>
      </c>
      <c r="I41" s="14">
        <f t="shared" si="4"/>
        <v>420000</v>
      </c>
      <c r="J41" s="1"/>
      <c r="K41" s="1"/>
      <c r="L41" s="1"/>
      <c r="M41" s="1"/>
      <c r="N41" s="1"/>
      <c r="O41" s="1"/>
      <c r="P41" s="1"/>
      <c r="Q41" s="1"/>
      <c r="R41" s="1"/>
      <c r="S41" s="1"/>
      <c r="T41" s="1"/>
      <c r="U41" s="1"/>
      <c r="V41" s="1"/>
      <c r="W41" s="1"/>
      <c r="X41" s="1"/>
      <c r="Y41" s="1"/>
      <c r="Z41" s="1"/>
    </row>
    <row r="42" ht="14.25" customHeight="1">
      <c r="A42" s="1"/>
      <c r="B42" s="39"/>
      <c r="C42" s="17"/>
      <c r="D42" s="18" t="s">
        <v>82</v>
      </c>
      <c r="E42" s="13" t="str">
        <f>VLOOKUP(D42,Datos!$B$8:$G$29,2,FALSE())</f>
        <v>Gastos Indirectos</v>
      </c>
      <c r="F42" s="13" t="str">
        <f>VLOOKUP(D42,Datos!$B$8:$G$29,3,FALSE())</f>
        <v>Meses</v>
      </c>
      <c r="G42" s="32">
        <v>6.0</v>
      </c>
      <c r="H42" s="14">
        <f>VLOOKUP(D42,Datos!$B$8:$G$29,6,FALSE())</f>
        <v>200000</v>
      </c>
      <c r="I42" s="14">
        <f t="shared" si="4"/>
        <v>1200000</v>
      </c>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sheetData>
  <printOptions/>
  <pageMargins bottom="0.7480314960629921" footer="0.0" header="0.0" left="0.2362204724409449" right="0.2362204724409449" top="0.7480314960629921"/>
  <pageSetup fitToHeight="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14"/>
    <col customWidth="1" min="3" max="3" width="22.57"/>
    <col customWidth="1" min="4" max="4" width="25.14"/>
    <col customWidth="1" min="5" max="7" width="14.0"/>
    <col customWidth="1" min="8" max="26" width="11.43"/>
  </cols>
  <sheetData>
    <row r="1" ht="14.25" customHeight="1">
      <c r="A1" s="1"/>
      <c r="B1" s="42" t="s">
        <v>83</v>
      </c>
      <c r="C1" s="1"/>
      <c r="D1" s="3" t="s">
        <v>1</v>
      </c>
      <c r="E1" s="43"/>
      <c r="F1" s="1"/>
      <c r="G1" s="1"/>
      <c r="H1" s="1"/>
      <c r="I1" s="1"/>
      <c r="J1" s="1"/>
      <c r="K1" s="1"/>
      <c r="L1" s="1"/>
      <c r="M1" s="1"/>
      <c r="N1" s="1"/>
      <c r="O1" s="1"/>
      <c r="P1" s="1"/>
      <c r="Q1" s="1"/>
      <c r="R1" s="1"/>
      <c r="S1" s="1"/>
      <c r="T1" s="1"/>
      <c r="U1" s="1"/>
      <c r="V1" s="1"/>
      <c r="W1" s="1"/>
      <c r="X1" s="1"/>
      <c r="Y1" s="1"/>
      <c r="Z1" s="1"/>
    </row>
    <row r="2" ht="14.25" customHeight="1">
      <c r="A2" s="1"/>
      <c r="B2" s="4" t="s">
        <v>2</v>
      </c>
      <c r="C2" s="1"/>
      <c r="D2" s="1"/>
      <c r="E2" s="43"/>
      <c r="F2" s="1"/>
      <c r="G2" s="1"/>
      <c r="H2" s="1"/>
      <c r="I2" s="1"/>
      <c r="J2" s="1"/>
      <c r="K2" s="1"/>
      <c r="L2" s="1"/>
      <c r="M2" s="1"/>
      <c r="N2" s="1"/>
      <c r="O2" s="1"/>
      <c r="P2" s="1"/>
      <c r="Q2" s="1"/>
      <c r="R2" s="1"/>
      <c r="S2" s="1"/>
      <c r="T2" s="1"/>
      <c r="U2" s="1"/>
      <c r="V2" s="1"/>
      <c r="W2" s="1"/>
      <c r="X2" s="1"/>
      <c r="Y2" s="1"/>
      <c r="Z2" s="1"/>
    </row>
    <row r="3" ht="14.25" customHeight="1">
      <c r="A3" s="1"/>
      <c r="B3" s="6" t="s">
        <v>4</v>
      </c>
      <c r="C3" s="1"/>
      <c r="D3" s="1"/>
      <c r="E3" s="44"/>
      <c r="F3" s="7"/>
      <c r="G3" s="1"/>
      <c r="H3" s="1"/>
      <c r="I3" s="1"/>
      <c r="J3" s="1"/>
      <c r="K3" s="1"/>
      <c r="L3" s="1"/>
      <c r="M3" s="1"/>
      <c r="N3" s="1"/>
      <c r="O3" s="1"/>
      <c r="P3" s="1"/>
      <c r="Q3" s="1"/>
      <c r="R3" s="1"/>
      <c r="S3" s="1"/>
      <c r="T3" s="1"/>
      <c r="U3" s="1"/>
      <c r="V3" s="1"/>
      <c r="W3" s="1"/>
      <c r="X3" s="1"/>
      <c r="Y3" s="1"/>
      <c r="Z3" s="1"/>
    </row>
    <row r="4" ht="14.25" customHeight="1">
      <c r="A4" s="1"/>
      <c r="B4" s="6" t="s">
        <v>8</v>
      </c>
      <c r="C4" s="1"/>
      <c r="D4" s="1"/>
      <c r="E4" s="44"/>
      <c r="F4" s="9"/>
      <c r="G4" s="1"/>
      <c r="H4" s="1"/>
      <c r="I4" s="1"/>
      <c r="J4" s="1"/>
      <c r="K4" s="1"/>
      <c r="L4" s="1"/>
      <c r="M4" s="1"/>
      <c r="N4" s="1"/>
      <c r="O4" s="1"/>
      <c r="P4" s="1"/>
      <c r="Q4" s="1"/>
      <c r="R4" s="1"/>
      <c r="S4" s="1"/>
      <c r="T4" s="1"/>
      <c r="U4" s="1"/>
      <c r="V4" s="1"/>
      <c r="W4" s="1"/>
      <c r="X4" s="1"/>
      <c r="Y4" s="1"/>
      <c r="Z4" s="1"/>
    </row>
    <row r="5" ht="14.25" customHeight="1">
      <c r="A5" s="1"/>
      <c r="B5" s="1"/>
      <c r="C5" s="1"/>
      <c r="D5" s="1"/>
      <c r="E5" s="43"/>
      <c r="F5" s="1"/>
      <c r="G5" s="1"/>
      <c r="H5" s="1"/>
      <c r="I5" s="1"/>
      <c r="J5" s="1"/>
      <c r="K5" s="1"/>
      <c r="L5" s="1"/>
      <c r="M5" s="1"/>
      <c r="N5" s="1"/>
      <c r="O5" s="1"/>
      <c r="P5" s="1"/>
      <c r="Q5" s="1"/>
      <c r="R5" s="1"/>
      <c r="S5" s="1"/>
      <c r="T5" s="1"/>
      <c r="U5" s="1"/>
      <c r="V5" s="1"/>
      <c r="W5" s="1"/>
      <c r="X5" s="1"/>
      <c r="Y5" s="1"/>
      <c r="Z5" s="1"/>
    </row>
    <row r="6" ht="14.25" customHeight="1">
      <c r="A6" s="1"/>
      <c r="B6" s="45" t="s">
        <v>47</v>
      </c>
      <c r="C6" s="45" t="s">
        <v>48</v>
      </c>
      <c r="D6" s="45" t="s">
        <v>11</v>
      </c>
      <c r="E6" s="46" t="s">
        <v>84</v>
      </c>
      <c r="F6" s="45" t="s">
        <v>85</v>
      </c>
      <c r="G6" s="45" t="s">
        <v>86</v>
      </c>
      <c r="H6" s="1"/>
      <c r="I6" s="1"/>
      <c r="J6" s="1"/>
      <c r="K6" s="1"/>
      <c r="L6" s="1"/>
      <c r="M6" s="1"/>
      <c r="N6" s="1"/>
      <c r="O6" s="1"/>
      <c r="P6" s="1"/>
      <c r="Q6" s="1"/>
      <c r="R6" s="1"/>
      <c r="S6" s="1"/>
      <c r="T6" s="1"/>
      <c r="U6" s="1"/>
      <c r="V6" s="1"/>
      <c r="W6" s="1"/>
      <c r="X6" s="1"/>
      <c r="Y6" s="1"/>
      <c r="Z6" s="1"/>
    </row>
    <row r="7" ht="14.25" customHeight="1">
      <c r="A7" s="1"/>
      <c r="B7" s="27"/>
      <c r="C7" s="27"/>
      <c r="D7" s="27"/>
      <c r="E7" s="47"/>
      <c r="F7" s="1"/>
      <c r="G7" s="1"/>
      <c r="H7" s="1"/>
      <c r="I7" s="1"/>
      <c r="J7" s="1"/>
      <c r="K7" s="1"/>
      <c r="L7" s="1"/>
      <c r="M7" s="1"/>
      <c r="N7" s="1"/>
      <c r="O7" s="1"/>
      <c r="P7" s="1"/>
      <c r="Q7" s="1"/>
      <c r="R7" s="1"/>
      <c r="S7" s="1"/>
      <c r="T7" s="1"/>
      <c r="U7" s="1"/>
      <c r="V7" s="1"/>
      <c r="W7" s="1"/>
      <c r="X7" s="1"/>
      <c r="Y7" s="1"/>
      <c r="Z7" s="1"/>
    </row>
    <row r="8" ht="14.25" customHeight="1">
      <c r="A8" s="1"/>
      <c r="B8" s="18" t="s">
        <v>15</v>
      </c>
      <c r="C8" s="18" t="s">
        <v>14</v>
      </c>
      <c r="D8" s="18" t="s">
        <v>87</v>
      </c>
      <c r="E8" s="48">
        <v>600000.0</v>
      </c>
      <c r="F8" s="49">
        <v>700000.0</v>
      </c>
      <c r="G8" s="49">
        <v>850000.0</v>
      </c>
      <c r="H8" s="1"/>
      <c r="I8" s="1"/>
      <c r="J8" s="1"/>
      <c r="K8" s="1"/>
      <c r="L8" s="1"/>
      <c r="M8" s="1"/>
      <c r="N8" s="1"/>
      <c r="O8" s="1"/>
      <c r="P8" s="1"/>
      <c r="Q8" s="1"/>
      <c r="R8" s="1"/>
      <c r="S8" s="1"/>
      <c r="T8" s="1"/>
      <c r="U8" s="1"/>
      <c r="V8" s="1"/>
      <c r="W8" s="1"/>
      <c r="X8" s="1"/>
      <c r="Y8" s="1"/>
      <c r="Z8" s="1"/>
    </row>
    <row r="9" ht="14.25" customHeight="1">
      <c r="A9" s="1"/>
      <c r="B9" s="18" t="s">
        <v>16</v>
      </c>
      <c r="C9" s="18" t="s">
        <v>14</v>
      </c>
      <c r="D9" s="18" t="s">
        <v>87</v>
      </c>
      <c r="E9" s="48">
        <v>600000.0</v>
      </c>
      <c r="F9" s="49">
        <v>750000.0</v>
      </c>
      <c r="G9" s="49">
        <v>900000.0</v>
      </c>
      <c r="H9" s="1"/>
      <c r="I9" s="1"/>
      <c r="J9" s="1"/>
      <c r="K9" s="1"/>
      <c r="L9" s="1"/>
      <c r="M9" s="1"/>
      <c r="N9" s="1"/>
      <c r="O9" s="1"/>
      <c r="P9" s="1"/>
      <c r="Q9" s="1"/>
      <c r="R9" s="1"/>
      <c r="S9" s="1"/>
      <c r="T9" s="1"/>
      <c r="U9" s="1"/>
      <c r="V9" s="1"/>
      <c r="W9" s="1"/>
      <c r="X9" s="1"/>
      <c r="Y9" s="1"/>
      <c r="Z9" s="1"/>
    </row>
    <row r="10" ht="14.25" customHeight="1">
      <c r="A10" s="1"/>
      <c r="B10" s="18" t="s">
        <v>17</v>
      </c>
      <c r="C10" s="18" t="s">
        <v>14</v>
      </c>
      <c r="D10" s="18" t="s">
        <v>87</v>
      </c>
      <c r="E10" s="48">
        <v>600000.0</v>
      </c>
      <c r="F10" s="49">
        <v>750000.0</v>
      </c>
      <c r="G10" s="49">
        <v>900000.0</v>
      </c>
      <c r="H10" s="1"/>
      <c r="I10" s="1"/>
      <c r="J10" s="1"/>
      <c r="K10" s="1"/>
      <c r="L10" s="1"/>
      <c r="M10" s="1"/>
      <c r="N10" s="1"/>
      <c r="O10" s="1"/>
      <c r="P10" s="1"/>
      <c r="Q10" s="1"/>
      <c r="R10" s="1"/>
      <c r="S10" s="1"/>
      <c r="T10" s="1"/>
      <c r="U10" s="1"/>
      <c r="V10" s="1"/>
      <c r="W10" s="1"/>
      <c r="X10" s="1"/>
      <c r="Y10" s="1"/>
      <c r="Z10" s="1"/>
    </row>
    <row r="11" ht="14.25" customHeight="1">
      <c r="A11" s="1"/>
      <c r="B11" s="18" t="s">
        <v>18</v>
      </c>
      <c r="C11" s="18" t="s">
        <v>14</v>
      </c>
      <c r="D11" s="18" t="s">
        <v>87</v>
      </c>
      <c r="E11" s="48">
        <v>500000.0</v>
      </c>
      <c r="F11" s="49">
        <v>650000.0</v>
      </c>
      <c r="G11" s="49">
        <v>800000.0</v>
      </c>
      <c r="H11" s="1"/>
      <c r="I11" s="1"/>
      <c r="J11" s="1"/>
      <c r="K11" s="1"/>
      <c r="L11" s="1"/>
      <c r="M11" s="1"/>
      <c r="N11" s="1"/>
      <c r="O11" s="1"/>
      <c r="P11" s="1"/>
      <c r="Q11" s="1"/>
      <c r="R11" s="1"/>
      <c r="S11" s="1"/>
      <c r="T11" s="1"/>
      <c r="U11" s="1"/>
      <c r="V11" s="1"/>
      <c r="W11" s="1"/>
      <c r="X11" s="1"/>
      <c r="Y11" s="1"/>
      <c r="Z11" s="1"/>
    </row>
    <row r="12" ht="14.25" customHeight="1">
      <c r="A12" s="1"/>
      <c r="B12" s="18" t="s">
        <v>19</v>
      </c>
      <c r="C12" s="18" t="s">
        <v>14</v>
      </c>
      <c r="D12" s="18" t="s">
        <v>87</v>
      </c>
      <c r="E12" s="48">
        <v>300000.0</v>
      </c>
      <c r="F12" s="49">
        <v>350000.0</v>
      </c>
      <c r="G12" s="49">
        <v>450000.0</v>
      </c>
      <c r="H12" s="1"/>
      <c r="I12" s="1"/>
      <c r="J12" s="1"/>
      <c r="K12" s="1"/>
      <c r="L12" s="1"/>
      <c r="M12" s="1"/>
      <c r="N12" s="1"/>
      <c r="O12" s="1"/>
      <c r="P12" s="1"/>
      <c r="Q12" s="1"/>
      <c r="R12" s="1"/>
      <c r="S12" s="1"/>
      <c r="T12" s="1"/>
      <c r="U12" s="1"/>
      <c r="V12" s="1"/>
      <c r="W12" s="1"/>
      <c r="X12" s="1"/>
      <c r="Y12" s="1"/>
      <c r="Z12" s="1"/>
    </row>
    <row r="13" ht="14.25" customHeight="1">
      <c r="A13" s="1"/>
      <c r="B13" s="18" t="s">
        <v>76</v>
      </c>
      <c r="C13" s="18" t="s">
        <v>20</v>
      </c>
      <c r="D13" s="18" t="s">
        <v>88</v>
      </c>
      <c r="E13" s="50"/>
      <c r="F13" s="49">
        <v>500000.0</v>
      </c>
      <c r="G13" s="49">
        <v>700000.0</v>
      </c>
      <c r="H13" s="1"/>
      <c r="I13" s="1"/>
      <c r="J13" s="1"/>
      <c r="K13" s="1"/>
      <c r="L13" s="1"/>
      <c r="M13" s="1"/>
      <c r="N13" s="1"/>
      <c r="O13" s="1"/>
      <c r="P13" s="1"/>
      <c r="Q13" s="1"/>
      <c r="R13" s="1"/>
      <c r="S13" s="1"/>
      <c r="T13" s="1"/>
      <c r="U13" s="1"/>
      <c r="V13" s="1"/>
      <c r="W13" s="1"/>
      <c r="X13" s="1"/>
      <c r="Y13" s="1"/>
      <c r="Z13" s="1"/>
    </row>
    <row r="14" ht="14.25" customHeight="1">
      <c r="A14" s="1"/>
      <c r="B14" s="18" t="s">
        <v>21</v>
      </c>
      <c r="C14" s="18" t="s">
        <v>20</v>
      </c>
      <c r="D14" s="18" t="s">
        <v>88</v>
      </c>
      <c r="E14" s="48">
        <v>500000.0</v>
      </c>
      <c r="F14" s="51"/>
      <c r="G14" s="49">
        <v>200000.0</v>
      </c>
      <c r="H14" s="1"/>
      <c r="I14" s="1"/>
      <c r="J14" s="1"/>
      <c r="K14" s="1"/>
      <c r="L14" s="1"/>
      <c r="M14" s="1"/>
      <c r="N14" s="1"/>
      <c r="O14" s="1"/>
      <c r="P14" s="1"/>
      <c r="Q14" s="1"/>
      <c r="R14" s="1"/>
      <c r="S14" s="1"/>
      <c r="T14" s="1"/>
      <c r="U14" s="1"/>
      <c r="V14" s="1"/>
      <c r="W14" s="1"/>
      <c r="X14" s="1"/>
      <c r="Y14" s="1"/>
      <c r="Z14" s="1"/>
    </row>
    <row r="15" ht="14.25" customHeight="1">
      <c r="A15" s="1"/>
      <c r="B15" s="18" t="s">
        <v>22</v>
      </c>
      <c r="C15" s="18" t="s">
        <v>20</v>
      </c>
      <c r="D15" s="18" t="s">
        <v>88</v>
      </c>
      <c r="E15" s="48">
        <v>250000.0</v>
      </c>
      <c r="F15" s="49">
        <v>200000.0</v>
      </c>
      <c r="G15" s="51"/>
      <c r="H15" s="1"/>
      <c r="I15" s="1"/>
      <c r="J15" s="1"/>
      <c r="K15" s="1"/>
      <c r="L15" s="1"/>
      <c r="M15" s="1"/>
      <c r="N15" s="1"/>
      <c r="O15" s="1"/>
      <c r="P15" s="1"/>
      <c r="Q15" s="1"/>
      <c r="R15" s="1"/>
      <c r="S15" s="1"/>
      <c r="T15" s="1"/>
      <c r="U15" s="1"/>
      <c r="V15" s="1"/>
      <c r="W15" s="1"/>
      <c r="X15" s="1"/>
      <c r="Y15" s="1"/>
      <c r="Z15" s="1"/>
    </row>
    <row r="16" ht="14.25" customHeight="1">
      <c r="A16" s="1"/>
      <c r="B16" s="18" t="s">
        <v>23</v>
      </c>
      <c r="C16" s="18" t="s">
        <v>20</v>
      </c>
      <c r="D16" s="18" t="s">
        <v>88</v>
      </c>
      <c r="E16" s="48">
        <v>150000.0</v>
      </c>
      <c r="F16" s="49">
        <v>150000.0</v>
      </c>
      <c r="G16" s="49">
        <v>200000.0</v>
      </c>
      <c r="H16" s="1"/>
      <c r="I16" s="1"/>
      <c r="J16" s="1"/>
      <c r="K16" s="1"/>
      <c r="L16" s="1"/>
      <c r="M16" s="1"/>
      <c r="N16" s="1"/>
      <c r="O16" s="1"/>
      <c r="P16" s="1"/>
      <c r="Q16" s="1"/>
      <c r="R16" s="1"/>
      <c r="S16" s="1"/>
      <c r="T16" s="1"/>
      <c r="U16" s="1"/>
      <c r="V16" s="1"/>
      <c r="W16" s="1"/>
      <c r="X16" s="1"/>
      <c r="Y16" s="1"/>
      <c r="Z16" s="1"/>
    </row>
    <row r="17" ht="14.25" customHeight="1">
      <c r="A17" s="1"/>
      <c r="B17" s="18" t="s">
        <v>79</v>
      </c>
      <c r="C17" s="18" t="s">
        <v>20</v>
      </c>
      <c r="D17" s="18" t="s">
        <v>88</v>
      </c>
      <c r="E17" s="50"/>
      <c r="F17" s="51"/>
      <c r="G17" s="49">
        <v>400000.0</v>
      </c>
      <c r="H17" s="1"/>
      <c r="I17" s="1"/>
      <c r="J17" s="1"/>
      <c r="K17" s="1"/>
      <c r="L17" s="1"/>
      <c r="M17" s="1"/>
      <c r="N17" s="1"/>
      <c r="O17" s="1"/>
      <c r="P17" s="1"/>
      <c r="Q17" s="1"/>
      <c r="R17" s="1"/>
      <c r="S17" s="1"/>
      <c r="T17" s="1"/>
      <c r="U17" s="1"/>
      <c r="V17" s="1"/>
      <c r="W17" s="1"/>
      <c r="X17" s="1"/>
      <c r="Y17" s="1"/>
      <c r="Z17" s="1"/>
    </row>
    <row r="18" ht="14.25" customHeight="1">
      <c r="A18" s="1"/>
      <c r="B18" s="18" t="s">
        <v>24</v>
      </c>
      <c r="C18" s="18" t="s">
        <v>20</v>
      </c>
      <c r="D18" s="18" t="s">
        <v>88</v>
      </c>
      <c r="E18" s="48">
        <v>250000.0</v>
      </c>
      <c r="F18" s="49">
        <v>300000.0</v>
      </c>
      <c r="G18" s="49">
        <v>400000.0</v>
      </c>
      <c r="H18" s="1"/>
      <c r="I18" s="1"/>
      <c r="J18" s="1"/>
      <c r="K18" s="1"/>
      <c r="L18" s="1"/>
      <c r="M18" s="1"/>
      <c r="N18" s="1"/>
      <c r="O18" s="1"/>
      <c r="P18" s="1"/>
      <c r="Q18" s="1"/>
      <c r="R18" s="1"/>
      <c r="S18" s="1"/>
      <c r="T18" s="1"/>
      <c r="U18" s="1"/>
      <c r="V18" s="1"/>
      <c r="W18" s="1"/>
      <c r="X18" s="1"/>
      <c r="Y18" s="1"/>
      <c r="Z18" s="1"/>
    </row>
    <row r="19" ht="14.25" customHeight="1">
      <c r="A19" s="1"/>
      <c r="B19" s="18" t="s">
        <v>25</v>
      </c>
      <c r="C19" s="18" t="s">
        <v>20</v>
      </c>
      <c r="D19" s="18" t="s">
        <v>88</v>
      </c>
      <c r="E19" s="48">
        <v>150000.0</v>
      </c>
      <c r="F19" s="49">
        <v>200000.0</v>
      </c>
      <c r="G19" s="49">
        <v>400000.0</v>
      </c>
      <c r="H19" s="1"/>
      <c r="I19" s="1"/>
      <c r="J19" s="1"/>
      <c r="K19" s="1"/>
      <c r="L19" s="1"/>
      <c r="M19" s="1"/>
      <c r="N19" s="1"/>
      <c r="O19" s="1"/>
      <c r="P19" s="1"/>
      <c r="Q19" s="1"/>
      <c r="R19" s="1"/>
      <c r="S19" s="1"/>
      <c r="T19" s="1"/>
      <c r="U19" s="1"/>
      <c r="V19" s="1"/>
      <c r="W19" s="1"/>
      <c r="X19" s="1"/>
      <c r="Y19" s="1"/>
      <c r="Z19" s="1"/>
    </row>
    <row r="20" ht="14.25" customHeight="1">
      <c r="A20" s="1"/>
      <c r="B20" s="18" t="s">
        <v>77</v>
      </c>
      <c r="C20" s="18" t="s">
        <v>20</v>
      </c>
      <c r="D20" s="18" t="s">
        <v>88</v>
      </c>
      <c r="E20" s="50"/>
      <c r="F20" s="49">
        <v>250000.0</v>
      </c>
      <c r="G20" s="51"/>
      <c r="H20" s="1"/>
      <c r="I20" s="1"/>
      <c r="J20" s="1"/>
      <c r="K20" s="1"/>
      <c r="L20" s="1"/>
      <c r="M20" s="1"/>
      <c r="N20" s="1"/>
      <c r="O20" s="1"/>
      <c r="P20" s="1"/>
      <c r="Q20" s="1"/>
      <c r="R20" s="1"/>
      <c r="S20" s="1"/>
      <c r="T20" s="1"/>
      <c r="U20" s="1"/>
      <c r="V20" s="1"/>
      <c r="W20" s="1"/>
      <c r="X20" s="1"/>
      <c r="Y20" s="1"/>
      <c r="Z20" s="1"/>
    </row>
    <row r="21" ht="14.25" customHeight="1">
      <c r="A21" s="1"/>
      <c r="B21" s="18" t="s">
        <v>27</v>
      </c>
      <c r="C21" s="18" t="s">
        <v>26</v>
      </c>
      <c r="D21" s="18" t="s">
        <v>88</v>
      </c>
      <c r="E21" s="48">
        <v>150000.0</v>
      </c>
      <c r="F21" s="49">
        <v>200000.0</v>
      </c>
      <c r="G21" s="49">
        <v>300000.0</v>
      </c>
      <c r="H21" s="1"/>
      <c r="I21" s="1"/>
      <c r="J21" s="1"/>
      <c r="K21" s="1"/>
      <c r="L21" s="1"/>
      <c r="M21" s="1"/>
      <c r="N21" s="1"/>
      <c r="O21" s="1"/>
      <c r="P21" s="1"/>
      <c r="Q21" s="1"/>
      <c r="R21" s="1"/>
      <c r="S21" s="1"/>
      <c r="T21" s="1"/>
      <c r="U21" s="1"/>
      <c r="V21" s="1"/>
      <c r="W21" s="1"/>
      <c r="X21" s="1"/>
      <c r="Y21" s="1"/>
      <c r="Z21" s="1"/>
    </row>
    <row r="22" ht="14.25" customHeight="1">
      <c r="A22" s="1"/>
      <c r="B22" s="18" t="s">
        <v>29</v>
      </c>
      <c r="C22" s="18" t="s">
        <v>28</v>
      </c>
      <c r="D22" s="18" t="s">
        <v>88</v>
      </c>
      <c r="E22" s="48">
        <v>100000.0</v>
      </c>
      <c r="F22" s="49">
        <v>150000.0</v>
      </c>
      <c r="G22" s="49">
        <v>200000.0</v>
      </c>
      <c r="H22" s="1"/>
      <c r="I22" s="1"/>
      <c r="J22" s="1"/>
      <c r="K22" s="1"/>
      <c r="L22" s="1"/>
      <c r="M22" s="1"/>
      <c r="N22" s="1"/>
      <c r="O22" s="1"/>
      <c r="P22" s="1"/>
      <c r="Q22" s="1"/>
      <c r="R22" s="1"/>
      <c r="S22" s="1"/>
      <c r="T22" s="1"/>
      <c r="U22" s="1"/>
      <c r="V22" s="1"/>
      <c r="W22" s="1"/>
      <c r="X22" s="1"/>
      <c r="Y22" s="1"/>
      <c r="Z22" s="1"/>
    </row>
    <row r="23" ht="14.25" customHeight="1">
      <c r="A23" s="1"/>
      <c r="B23" s="18" t="s">
        <v>80</v>
      </c>
      <c r="C23" s="18" t="s">
        <v>28</v>
      </c>
      <c r="D23" s="18" t="s">
        <v>88</v>
      </c>
      <c r="E23" s="50"/>
      <c r="F23" s="51"/>
      <c r="G23" s="49">
        <v>400000.0</v>
      </c>
      <c r="H23" s="1"/>
      <c r="I23" s="1"/>
      <c r="J23" s="1"/>
      <c r="K23" s="1"/>
      <c r="L23" s="1"/>
      <c r="M23" s="1"/>
      <c r="N23" s="1"/>
      <c r="O23" s="1"/>
      <c r="P23" s="1"/>
      <c r="Q23" s="1"/>
      <c r="R23" s="1"/>
      <c r="S23" s="1"/>
      <c r="T23" s="1"/>
      <c r="U23" s="1"/>
      <c r="V23" s="1"/>
      <c r="W23" s="1"/>
      <c r="X23" s="1"/>
      <c r="Y23" s="1"/>
      <c r="Z23" s="1"/>
    </row>
    <row r="24" ht="14.25" customHeight="1">
      <c r="A24" s="1"/>
      <c r="B24" s="18" t="s">
        <v>30</v>
      </c>
      <c r="C24" s="18" t="s">
        <v>28</v>
      </c>
      <c r="D24" s="18" t="s">
        <v>88</v>
      </c>
      <c r="E24" s="48">
        <v>200000.0</v>
      </c>
      <c r="F24" s="49">
        <v>300000.0</v>
      </c>
      <c r="G24" s="49">
        <v>500000.0</v>
      </c>
      <c r="H24" s="1"/>
      <c r="I24" s="1"/>
      <c r="J24" s="1"/>
      <c r="K24" s="1"/>
      <c r="L24" s="1"/>
      <c r="M24" s="1"/>
      <c r="N24" s="1"/>
      <c r="O24" s="1"/>
      <c r="P24" s="1"/>
      <c r="Q24" s="1"/>
      <c r="R24" s="1"/>
      <c r="S24" s="1"/>
      <c r="T24" s="1"/>
      <c r="U24" s="1"/>
      <c r="V24" s="1"/>
      <c r="W24" s="1"/>
      <c r="X24" s="1"/>
      <c r="Y24" s="1"/>
      <c r="Z24" s="1"/>
    </row>
    <row r="25" ht="14.25" customHeight="1">
      <c r="A25" s="1"/>
      <c r="B25" s="18" t="s">
        <v>31</v>
      </c>
      <c r="C25" s="18" t="s">
        <v>28</v>
      </c>
      <c r="D25" s="18" t="s">
        <v>88</v>
      </c>
      <c r="E25" s="48">
        <v>100000.0</v>
      </c>
      <c r="F25" s="49">
        <v>150000.0</v>
      </c>
      <c r="G25" s="51"/>
      <c r="H25" s="1"/>
      <c r="I25" s="1"/>
      <c r="J25" s="1"/>
      <c r="K25" s="1"/>
      <c r="L25" s="1"/>
      <c r="M25" s="1"/>
      <c r="N25" s="1"/>
      <c r="O25" s="1"/>
      <c r="P25" s="1"/>
      <c r="Q25" s="1"/>
      <c r="R25" s="1"/>
      <c r="S25" s="1"/>
      <c r="T25" s="1"/>
      <c r="U25" s="1"/>
      <c r="V25" s="1"/>
      <c r="W25" s="1"/>
      <c r="X25" s="1"/>
      <c r="Y25" s="1"/>
      <c r="Z25" s="1"/>
    </row>
    <row r="26" ht="14.25" customHeight="1">
      <c r="A26" s="1"/>
      <c r="B26" s="18" t="s">
        <v>81</v>
      </c>
      <c r="C26" s="18" t="s">
        <v>28</v>
      </c>
      <c r="D26" s="18" t="s">
        <v>88</v>
      </c>
      <c r="E26" s="50"/>
      <c r="F26" s="51"/>
      <c r="G26" s="49">
        <v>300000.0</v>
      </c>
      <c r="H26" s="1"/>
      <c r="I26" s="1"/>
      <c r="J26" s="1"/>
      <c r="K26" s="1"/>
      <c r="L26" s="1"/>
      <c r="M26" s="1"/>
      <c r="N26" s="1"/>
      <c r="O26" s="1"/>
      <c r="P26" s="1"/>
      <c r="Q26" s="1"/>
      <c r="R26" s="1"/>
      <c r="S26" s="1"/>
      <c r="T26" s="1"/>
      <c r="U26" s="1"/>
      <c r="V26" s="1"/>
      <c r="W26" s="1"/>
      <c r="X26" s="1"/>
      <c r="Y26" s="1"/>
      <c r="Z26" s="1"/>
    </row>
    <row r="27" ht="14.25" customHeight="1">
      <c r="A27" s="1"/>
      <c r="B27" s="18" t="s">
        <v>33</v>
      </c>
      <c r="C27" s="18" t="s">
        <v>89</v>
      </c>
      <c r="D27" s="18" t="s">
        <v>87</v>
      </c>
      <c r="E27" s="48">
        <v>100000.0</v>
      </c>
      <c r="F27" s="49">
        <v>120000.0</v>
      </c>
      <c r="G27" s="49">
        <v>180000.0</v>
      </c>
      <c r="H27" s="1"/>
      <c r="I27" s="1"/>
      <c r="J27" s="1"/>
      <c r="K27" s="1"/>
      <c r="L27" s="1"/>
      <c r="M27" s="1"/>
      <c r="N27" s="1"/>
      <c r="O27" s="1"/>
      <c r="P27" s="1"/>
      <c r="Q27" s="1"/>
      <c r="R27" s="1"/>
      <c r="S27" s="1"/>
      <c r="T27" s="1"/>
      <c r="U27" s="1"/>
      <c r="V27" s="1"/>
      <c r="W27" s="1"/>
      <c r="X27" s="1"/>
      <c r="Y27" s="1"/>
      <c r="Z27" s="1"/>
    </row>
    <row r="28" ht="14.25" customHeight="1">
      <c r="A28" s="1"/>
      <c r="B28" s="18" t="s">
        <v>34</v>
      </c>
      <c r="C28" s="18" t="s">
        <v>89</v>
      </c>
      <c r="D28" s="18" t="s">
        <v>87</v>
      </c>
      <c r="E28" s="48">
        <v>30000.0</v>
      </c>
      <c r="F28" s="49">
        <v>50000.0</v>
      </c>
      <c r="G28" s="49">
        <v>70000.0</v>
      </c>
      <c r="H28" s="1"/>
      <c r="I28" s="1"/>
      <c r="J28" s="1"/>
      <c r="K28" s="1"/>
      <c r="L28" s="1"/>
      <c r="M28" s="1"/>
      <c r="N28" s="1"/>
      <c r="O28" s="1"/>
      <c r="P28" s="1"/>
      <c r="Q28" s="1"/>
      <c r="R28" s="1"/>
      <c r="S28" s="1"/>
      <c r="T28" s="1"/>
      <c r="U28" s="1"/>
      <c r="V28" s="1"/>
      <c r="W28" s="1"/>
      <c r="X28" s="1"/>
      <c r="Y28" s="1"/>
      <c r="Z28" s="1"/>
    </row>
    <row r="29" ht="14.25" customHeight="1">
      <c r="A29" s="1"/>
      <c r="B29" s="18" t="s">
        <v>82</v>
      </c>
      <c r="C29" s="18" t="s">
        <v>89</v>
      </c>
      <c r="D29" s="18" t="s">
        <v>87</v>
      </c>
      <c r="E29" s="50"/>
      <c r="F29" s="51"/>
      <c r="G29" s="49">
        <v>200000.0</v>
      </c>
      <c r="H29" s="1"/>
      <c r="I29" s="1"/>
      <c r="J29" s="1"/>
      <c r="K29" s="1"/>
      <c r="L29" s="1"/>
      <c r="M29" s="1"/>
      <c r="N29" s="1"/>
      <c r="O29" s="1"/>
      <c r="P29" s="1"/>
      <c r="Q29" s="1"/>
      <c r="R29" s="1"/>
      <c r="S29" s="1"/>
      <c r="T29" s="1"/>
      <c r="U29" s="1"/>
      <c r="V29" s="1"/>
      <c r="W29" s="1"/>
      <c r="X29" s="1"/>
      <c r="Y29" s="1"/>
      <c r="Z29" s="1"/>
    </row>
    <row r="30" ht="14.25" customHeight="1">
      <c r="A30" s="1"/>
      <c r="B30" s="1"/>
      <c r="C30" s="1"/>
      <c r="D30" s="1"/>
      <c r="E30" s="43"/>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43"/>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43"/>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43"/>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43"/>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43"/>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43"/>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43"/>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43"/>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43"/>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43"/>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43"/>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43"/>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43"/>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43"/>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43"/>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43"/>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43"/>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43"/>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43"/>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43"/>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43"/>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43"/>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43"/>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43"/>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43"/>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43"/>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43"/>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43"/>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43"/>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43"/>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43"/>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43"/>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43"/>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43"/>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43"/>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43"/>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43"/>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43"/>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43"/>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43"/>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43"/>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43"/>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43"/>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43"/>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43"/>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43"/>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43"/>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43"/>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43"/>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43"/>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43"/>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43"/>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43"/>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43"/>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43"/>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43"/>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43"/>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43"/>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43"/>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43"/>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43"/>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43"/>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43"/>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43"/>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43"/>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43"/>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43"/>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43"/>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43"/>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43"/>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43"/>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43"/>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43"/>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43"/>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43"/>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43"/>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43"/>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43"/>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43"/>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43"/>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43"/>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43"/>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43"/>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43"/>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43"/>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43"/>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43"/>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43"/>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43"/>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43"/>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43"/>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43"/>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43"/>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43"/>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43"/>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43"/>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43"/>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43"/>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43"/>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43"/>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43"/>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43"/>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43"/>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43"/>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43"/>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43"/>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43"/>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43"/>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43"/>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43"/>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43"/>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43"/>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43"/>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43"/>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43"/>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43"/>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43"/>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43"/>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43"/>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43"/>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43"/>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43"/>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43"/>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43"/>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43"/>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43"/>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43"/>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43"/>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43"/>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43"/>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43"/>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43"/>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43"/>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43"/>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43"/>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43"/>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43"/>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43"/>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43"/>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43"/>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43"/>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43"/>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43"/>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43"/>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43"/>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43"/>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43"/>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43"/>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43"/>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43"/>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43"/>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43"/>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43"/>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43"/>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43"/>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43"/>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43"/>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43"/>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43"/>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43"/>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43"/>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43"/>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43"/>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43"/>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43"/>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43"/>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43"/>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43"/>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43"/>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43"/>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43"/>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43"/>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43"/>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43"/>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43"/>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43"/>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43"/>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43"/>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43"/>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43"/>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43"/>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43"/>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43"/>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43"/>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43"/>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43"/>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43"/>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43"/>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43"/>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43"/>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43"/>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43"/>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43"/>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43"/>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43"/>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43"/>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43"/>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43"/>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43"/>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43"/>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43"/>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43"/>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43"/>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43"/>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43"/>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43"/>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43"/>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43"/>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43"/>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43"/>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43"/>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43"/>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43"/>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43"/>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43"/>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43"/>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43"/>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43"/>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43"/>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43"/>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43"/>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43"/>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43"/>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43"/>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43"/>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43"/>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43"/>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43"/>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43"/>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43"/>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43"/>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43"/>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43"/>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43"/>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43"/>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43"/>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43"/>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43"/>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43"/>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43"/>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43"/>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43"/>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43"/>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43"/>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43"/>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43"/>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43"/>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43"/>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43"/>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43"/>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43"/>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43"/>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43"/>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43"/>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43"/>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43"/>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43"/>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43"/>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43"/>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43"/>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43"/>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43"/>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43"/>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43"/>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43"/>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43"/>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43"/>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43"/>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43"/>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43"/>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43"/>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43"/>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43"/>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43"/>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43"/>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43"/>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43"/>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43"/>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43"/>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43"/>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43"/>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43"/>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43"/>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43"/>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43"/>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43"/>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43"/>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43"/>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43"/>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43"/>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43"/>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43"/>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43"/>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43"/>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43"/>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43"/>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43"/>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43"/>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43"/>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43"/>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43"/>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43"/>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43"/>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43"/>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43"/>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43"/>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43"/>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43"/>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43"/>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43"/>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43"/>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43"/>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43"/>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43"/>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43"/>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43"/>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43"/>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43"/>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43"/>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43"/>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43"/>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43"/>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43"/>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43"/>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43"/>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43"/>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43"/>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43"/>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43"/>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43"/>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43"/>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43"/>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43"/>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43"/>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43"/>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43"/>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43"/>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43"/>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43"/>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43"/>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43"/>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43"/>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43"/>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43"/>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43"/>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43"/>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43"/>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43"/>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43"/>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43"/>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43"/>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43"/>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43"/>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43"/>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43"/>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43"/>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43"/>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43"/>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43"/>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43"/>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43"/>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43"/>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43"/>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43"/>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43"/>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43"/>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43"/>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43"/>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43"/>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43"/>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43"/>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43"/>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43"/>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43"/>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43"/>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43"/>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43"/>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43"/>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43"/>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43"/>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43"/>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43"/>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43"/>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43"/>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43"/>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43"/>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43"/>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43"/>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43"/>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43"/>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43"/>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43"/>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43"/>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43"/>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43"/>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43"/>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43"/>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43"/>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43"/>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43"/>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43"/>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43"/>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43"/>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43"/>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43"/>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43"/>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43"/>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43"/>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43"/>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43"/>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43"/>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43"/>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43"/>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43"/>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43"/>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43"/>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43"/>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43"/>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43"/>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43"/>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43"/>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43"/>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43"/>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43"/>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43"/>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43"/>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43"/>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43"/>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43"/>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43"/>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43"/>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43"/>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43"/>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43"/>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43"/>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43"/>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43"/>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43"/>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43"/>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43"/>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43"/>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43"/>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43"/>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43"/>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43"/>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43"/>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43"/>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43"/>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43"/>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43"/>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43"/>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43"/>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43"/>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43"/>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43"/>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43"/>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43"/>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43"/>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43"/>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43"/>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43"/>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43"/>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43"/>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43"/>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43"/>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43"/>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43"/>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43"/>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43"/>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43"/>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43"/>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43"/>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43"/>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43"/>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43"/>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43"/>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43"/>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43"/>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43"/>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43"/>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43"/>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43"/>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43"/>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43"/>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43"/>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43"/>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43"/>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43"/>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43"/>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43"/>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43"/>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43"/>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43"/>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43"/>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43"/>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43"/>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43"/>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43"/>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43"/>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43"/>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43"/>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43"/>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43"/>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43"/>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43"/>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43"/>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43"/>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43"/>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43"/>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43"/>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43"/>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43"/>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43"/>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43"/>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43"/>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43"/>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43"/>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43"/>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43"/>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43"/>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43"/>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43"/>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43"/>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43"/>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43"/>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43"/>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43"/>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43"/>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43"/>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43"/>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43"/>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43"/>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43"/>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43"/>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43"/>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43"/>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43"/>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43"/>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43"/>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43"/>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43"/>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43"/>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43"/>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43"/>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43"/>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43"/>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43"/>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43"/>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43"/>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43"/>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43"/>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43"/>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43"/>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43"/>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43"/>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43"/>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43"/>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43"/>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43"/>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43"/>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43"/>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43"/>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43"/>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43"/>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43"/>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43"/>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43"/>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43"/>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43"/>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43"/>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43"/>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43"/>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43"/>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43"/>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43"/>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43"/>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43"/>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43"/>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43"/>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43"/>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43"/>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43"/>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43"/>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43"/>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43"/>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43"/>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43"/>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43"/>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43"/>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43"/>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43"/>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43"/>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43"/>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43"/>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43"/>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43"/>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43"/>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43"/>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43"/>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43"/>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43"/>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43"/>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43"/>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43"/>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43"/>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43"/>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43"/>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43"/>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43"/>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43"/>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43"/>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43"/>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43"/>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43"/>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43"/>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43"/>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43"/>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43"/>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43"/>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43"/>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43"/>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43"/>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43"/>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43"/>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43"/>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43"/>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43"/>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43"/>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43"/>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43"/>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43"/>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43"/>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43"/>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43"/>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43"/>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43"/>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43"/>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43"/>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43"/>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43"/>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43"/>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43"/>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43"/>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43"/>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43"/>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43"/>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43"/>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43"/>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43"/>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43"/>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43"/>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43"/>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43"/>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43"/>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43"/>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43"/>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43"/>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43"/>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43"/>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43"/>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43"/>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43"/>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43"/>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43"/>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43"/>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43"/>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43"/>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43"/>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43"/>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43"/>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43"/>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43"/>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43"/>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43"/>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43"/>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43"/>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43"/>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43"/>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43"/>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43"/>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43"/>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43"/>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43"/>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43"/>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43"/>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43"/>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43"/>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43"/>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43"/>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43"/>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43"/>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43"/>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43"/>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43"/>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43"/>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43"/>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43"/>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43"/>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43"/>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43"/>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43"/>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43"/>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43"/>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43"/>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43"/>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43"/>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43"/>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43"/>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43"/>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43"/>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43"/>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43"/>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43"/>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43"/>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43"/>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43"/>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43"/>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43"/>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43"/>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43"/>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43"/>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43"/>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43"/>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43"/>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43"/>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43"/>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43"/>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43"/>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43"/>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43"/>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43"/>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43"/>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43"/>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43"/>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43"/>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43"/>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43"/>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43"/>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43"/>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43"/>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43"/>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43"/>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43"/>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43"/>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43"/>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43"/>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43"/>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43"/>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43"/>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43"/>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43"/>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43"/>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43"/>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43"/>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43"/>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43"/>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43"/>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43"/>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43"/>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43"/>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43"/>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43"/>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43"/>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43"/>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43"/>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43"/>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43"/>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43"/>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43"/>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43"/>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43"/>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43"/>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43"/>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43"/>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43"/>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43"/>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43"/>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43"/>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43"/>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43"/>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43"/>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43"/>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43"/>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43"/>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43"/>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43"/>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43"/>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43"/>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43"/>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43"/>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43"/>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43"/>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43"/>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43"/>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43"/>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43"/>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43"/>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43"/>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43"/>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43"/>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43"/>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43"/>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43"/>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43"/>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43"/>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43"/>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43"/>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43"/>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43"/>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43"/>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43"/>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43"/>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43"/>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43"/>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43"/>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43"/>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43"/>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43"/>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43"/>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43"/>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43"/>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43"/>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43"/>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43"/>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43"/>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43"/>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43"/>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43"/>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43"/>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43"/>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43"/>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43"/>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43"/>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43"/>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43"/>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43"/>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43"/>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43"/>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43"/>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43"/>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43"/>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43"/>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43"/>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43"/>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43"/>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43"/>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43"/>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43"/>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43"/>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43"/>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43"/>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43"/>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43"/>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43"/>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43"/>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43"/>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43"/>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43"/>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43"/>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43"/>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43"/>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43"/>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43"/>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43"/>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43"/>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43"/>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43"/>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43"/>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43"/>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43"/>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43"/>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43"/>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43"/>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43"/>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43"/>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43"/>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43"/>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43"/>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43"/>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43"/>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43"/>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43"/>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43"/>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43"/>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43"/>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43"/>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43"/>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43"/>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43"/>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43"/>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43"/>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43"/>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43"/>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43"/>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43"/>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43"/>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43"/>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43"/>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43"/>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43"/>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43"/>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43"/>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43"/>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43"/>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43"/>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43"/>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43"/>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43"/>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43"/>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43"/>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43"/>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43"/>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43"/>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43"/>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43"/>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43"/>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43"/>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43"/>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43"/>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43"/>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43"/>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43"/>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43"/>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43"/>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43"/>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43"/>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43"/>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43"/>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43"/>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43"/>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43"/>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43"/>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43"/>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43"/>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43"/>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43"/>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43"/>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43"/>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43"/>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43"/>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43"/>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43"/>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43"/>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43"/>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43"/>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43"/>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43"/>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43"/>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43"/>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43"/>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43"/>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43"/>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43"/>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43"/>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43"/>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43"/>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43"/>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43"/>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43"/>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43"/>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43"/>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43"/>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43"/>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43"/>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43"/>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43"/>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43"/>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43"/>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43"/>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43"/>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42" t="s">
        <v>83</v>
      </c>
      <c r="C1" s="1"/>
      <c r="D1" s="52"/>
      <c r="E1" s="1"/>
      <c r="F1" s="1"/>
      <c r="G1" s="1"/>
      <c r="H1" s="1"/>
      <c r="I1" s="1"/>
      <c r="J1" s="1"/>
      <c r="K1" s="1"/>
      <c r="L1" s="1"/>
      <c r="M1" s="1"/>
      <c r="N1" s="1"/>
      <c r="O1" s="1"/>
      <c r="P1" s="1"/>
      <c r="Q1" s="1"/>
      <c r="R1" s="1"/>
      <c r="S1" s="1"/>
      <c r="T1" s="1"/>
      <c r="U1" s="1"/>
      <c r="V1" s="1"/>
      <c r="W1" s="1"/>
      <c r="X1" s="1"/>
      <c r="Y1" s="1"/>
      <c r="Z1" s="1"/>
    </row>
    <row r="2" ht="14.25" customHeight="1">
      <c r="A2" s="1"/>
      <c r="B2" s="4" t="s">
        <v>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3" t="s">
        <v>90</v>
      </c>
      <c r="C4" s="1"/>
      <c r="D4" s="1"/>
      <c r="E4" s="1"/>
      <c r="F4" s="1"/>
      <c r="G4" s="1"/>
      <c r="H4" s="1"/>
      <c r="I4" s="1"/>
      <c r="J4" s="1"/>
      <c r="K4" s="1"/>
      <c r="L4" s="1"/>
      <c r="M4" s="1"/>
      <c r="N4" s="1"/>
      <c r="O4" s="1"/>
      <c r="P4" s="1"/>
      <c r="Q4" s="1"/>
      <c r="R4" s="1"/>
      <c r="S4" s="1"/>
      <c r="T4" s="1"/>
      <c r="U4" s="1"/>
      <c r="V4" s="1"/>
      <c r="W4" s="1"/>
      <c r="X4" s="1"/>
      <c r="Y4" s="1"/>
      <c r="Z4" s="1"/>
    </row>
    <row r="5" ht="14.25" customHeight="1">
      <c r="A5" s="1"/>
      <c r="B5" s="53" t="s">
        <v>91</v>
      </c>
      <c r="C5" s="1" t="s">
        <v>92</v>
      </c>
      <c r="D5" s="1"/>
      <c r="E5" s="1"/>
      <c r="F5" s="1"/>
      <c r="G5" s="1"/>
      <c r="H5" s="1"/>
      <c r="I5" s="1"/>
      <c r="J5" s="1"/>
      <c r="K5" s="1"/>
      <c r="L5" s="1"/>
      <c r="M5" s="1"/>
      <c r="N5" s="1"/>
      <c r="O5" s="1"/>
      <c r="P5" s="1"/>
      <c r="Q5" s="1"/>
      <c r="R5" s="1"/>
      <c r="S5" s="1"/>
      <c r="T5" s="1"/>
      <c r="U5" s="1"/>
      <c r="V5" s="1"/>
      <c r="W5" s="1"/>
      <c r="X5" s="1"/>
      <c r="Y5" s="1"/>
      <c r="Z5" s="1"/>
    </row>
    <row r="6" ht="14.25" customHeight="1">
      <c r="A6" s="1"/>
      <c r="B6" s="8" t="s">
        <v>93</v>
      </c>
      <c r="C6" s="8" t="s">
        <v>94</v>
      </c>
      <c r="D6" s="1"/>
      <c r="E6" s="1"/>
      <c r="F6" s="1"/>
      <c r="G6" s="1"/>
      <c r="H6" s="1"/>
      <c r="I6" s="1"/>
      <c r="J6" s="1"/>
      <c r="K6" s="1"/>
      <c r="L6" s="1"/>
      <c r="M6" s="1"/>
      <c r="N6" s="1"/>
      <c r="O6" s="1"/>
      <c r="P6" s="1"/>
      <c r="Q6" s="1"/>
      <c r="R6" s="1"/>
      <c r="S6" s="1"/>
      <c r="T6" s="1"/>
      <c r="U6" s="1"/>
      <c r="V6" s="1"/>
      <c r="W6" s="1"/>
      <c r="X6" s="1"/>
      <c r="Y6" s="1"/>
      <c r="Z6" s="1"/>
    </row>
    <row r="7" ht="14.25" customHeight="1">
      <c r="A7" s="1"/>
      <c r="B7" s="27"/>
      <c r="C7" s="27"/>
      <c r="D7" s="13"/>
      <c r="E7" s="27"/>
      <c r="F7" s="1"/>
      <c r="G7" s="1"/>
      <c r="H7" s="1"/>
      <c r="I7" s="1"/>
      <c r="J7" s="1"/>
      <c r="K7" s="1"/>
      <c r="L7" s="1"/>
      <c r="M7" s="1"/>
      <c r="N7" s="1"/>
      <c r="O7" s="1"/>
      <c r="P7" s="1"/>
      <c r="Q7" s="1"/>
      <c r="R7" s="1"/>
      <c r="S7" s="1"/>
      <c r="T7" s="1"/>
      <c r="U7" s="1"/>
      <c r="V7" s="1"/>
      <c r="W7" s="1"/>
      <c r="X7" s="1"/>
      <c r="Y7" s="1"/>
      <c r="Z7" s="1"/>
    </row>
    <row r="8" ht="14.25" customHeight="1">
      <c r="A8" s="1"/>
      <c r="B8" s="54" t="s">
        <v>47</v>
      </c>
      <c r="C8" s="55" t="s">
        <v>95</v>
      </c>
      <c r="D8" s="13"/>
      <c r="E8" s="31"/>
      <c r="F8" s="1"/>
      <c r="G8" s="1"/>
      <c r="H8" s="1"/>
      <c r="I8" s="1"/>
      <c r="J8" s="1"/>
      <c r="K8" s="1"/>
      <c r="L8" s="1"/>
      <c r="M8" s="1"/>
      <c r="N8" s="1"/>
      <c r="O8" s="1"/>
      <c r="P8" s="1"/>
      <c r="Q8" s="1"/>
      <c r="R8" s="1"/>
      <c r="S8" s="1"/>
      <c r="T8" s="1"/>
      <c r="U8" s="1"/>
      <c r="V8" s="1"/>
      <c r="W8" s="1"/>
      <c r="X8" s="1"/>
      <c r="Y8" s="1"/>
      <c r="Z8" s="1"/>
    </row>
    <row r="9" ht="14.25" customHeight="1">
      <c r="A9" s="1"/>
      <c r="B9" s="54" t="s">
        <v>48</v>
      </c>
      <c r="C9" s="55" t="s">
        <v>96</v>
      </c>
      <c r="D9" s="1"/>
      <c r="E9" s="1"/>
      <c r="F9" s="1"/>
      <c r="G9" s="1"/>
      <c r="H9" s="1"/>
      <c r="I9" s="1"/>
      <c r="J9" s="1"/>
      <c r="K9" s="1"/>
      <c r="L9" s="1"/>
      <c r="M9" s="1"/>
      <c r="N9" s="1"/>
      <c r="O9" s="1"/>
      <c r="P9" s="1"/>
      <c r="Q9" s="1"/>
      <c r="R9" s="1"/>
      <c r="S9" s="1"/>
      <c r="T9" s="1"/>
      <c r="U9" s="1"/>
      <c r="V9" s="1"/>
      <c r="W9" s="1"/>
      <c r="X9" s="1"/>
      <c r="Y9" s="1"/>
      <c r="Z9" s="1"/>
    </row>
    <row r="10" ht="14.25" customHeight="1">
      <c r="A10" s="1"/>
      <c r="B10" s="54" t="s">
        <v>11</v>
      </c>
      <c r="C10" s="55" t="s">
        <v>97</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4" t="s">
        <v>12</v>
      </c>
      <c r="C11" s="55" t="s">
        <v>98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3"/>
      <c r="C12" s="56"/>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53" t="s">
        <v>99</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53" t="s">
        <v>91</v>
      </c>
      <c r="C14" s="57" t="s">
        <v>100</v>
      </c>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8" t="s">
        <v>93</v>
      </c>
      <c r="C15" s="8" t="s">
        <v>94</v>
      </c>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27"/>
      <c r="C16" s="27"/>
      <c r="D16" s="13"/>
      <c r="E16" s="27"/>
      <c r="F16" s="1"/>
      <c r="G16" s="1"/>
      <c r="H16" s="1"/>
      <c r="I16" s="1"/>
      <c r="J16" s="1"/>
      <c r="K16" s="1"/>
      <c r="L16" s="1"/>
      <c r="M16" s="1"/>
      <c r="N16" s="1"/>
      <c r="O16" s="1"/>
      <c r="P16" s="1"/>
      <c r="Q16" s="1"/>
      <c r="R16" s="1"/>
      <c r="S16" s="1"/>
      <c r="T16" s="1"/>
      <c r="U16" s="1"/>
      <c r="V16" s="1"/>
      <c r="W16" s="1"/>
      <c r="X16" s="1"/>
      <c r="Y16" s="1"/>
      <c r="Z16" s="1"/>
    </row>
    <row r="17" ht="14.25" customHeight="1">
      <c r="A17" s="1"/>
      <c r="B17" s="54" t="s">
        <v>45</v>
      </c>
      <c r="C17" s="55" t="s">
        <v>101</v>
      </c>
      <c r="D17" s="13"/>
      <c r="E17" s="31"/>
      <c r="F17" s="1"/>
      <c r="G17" s="1"/>
      <c r="H17" s="1"/>
      <c r="I17" s="1"/>
      <c r="J17" s="1"/>
      <c r="K17" s="1"/>
      <c r="L17" s="1"/>
      <c r="M17" s="1"/>
      <c r="N17" s="1"/>
      <c r="O17" s="1"/>
      <c r="P17" s="1"/>
      <c r="Q17" s="1"/>
      <c r="R17" s="1"/>
      <c r="S17" s="1"/>
      <c r="T17" s="1"/>
      <c r="U17" s="1"/>
      <c r="V17" s="1"/>
      <c r="W17" s="1"/>
      <c r="X17" s="1"/>
      <c r="Y17" s="1"/>
      <c r="Z17" s="1"/>
    </row>
    <row r="18" ht="14.25" customHeight="1">
      <c r="A18" s="1"/>
      <c r="B18" s="54" t="s">
        <v>46</v>
      </c>
      <c r="C18" s="55" t="s">
        <v>102</v>
      </c>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54" t="s">
        <v>47</v>
      </c>
      <c r="C19" s="55" t="s">
        <v>103</v>
      </c>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54" t="s">
        <v>48</v>
      </c>
      <c r="C20" s="55" t="s">
        <v>104</v>
      </c>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54" t="s">
        <v>11</v>
      </c>
      <c r="C21" s="55" t="s">
        <v>105</v>
      </c>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54" t="s">
        <v>49</v>
      </c>
      <c r="C22" s="55" t="s">
        <v>106</v>
      </c>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54" t="s">
        <v>12</v>
      </c>
      <c r="C23" s="55" t="s">
        <v>107</v>
      </c>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54" t="s">
        <v>5</v>
      </c>
      <c r="C24" s="55" t="s">
        <v>108</v>
      </c>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53" t="s">
        <v>109</v>
      </c>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53" t="s">
        <v>91</v>
      </c>
      <c r="C27" s="57" t="s">
        <v>110</v>
      </c>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8" t="s">
        <v>93</v>
      </c>
      <c r="C28" s="8" t="s">
        <v>94</v>
      </c>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7"/>
      <c r="C29" s="27"/>
      <c r="D29" s="13"/>
      <c r="E29" s="27"/>
      <c r="F29" s="1"/>
      <c r="G29" s="1"/>
      <c r="H29" s="1"/>
      <c r="I29" s="1"/>
      <c r="J29" s="1"/>
      <c r="K29" s="1"/>
      <c r="L29" s="1"/>
      <c r="M29" s="1"/>
      <c r="N29" s="1"/>
      <c r="O29" s="1"/>
      <c r="P29" s="1"/>
      <c r="Q29" s="1"/>
      <c r="R29" s="1"/>
      <c r="S29" s="1"/>
      <c r="T29" s="1"/>
      <c r="U29" s="1"/>
      <c r="V29" s="1"/>
      <c r="W29" s="1"/>
      <c r="X29" s="1"/>
      <c r="Y29" s="1"/>
      <c r="Z29" s="1"/>
    </row>
    <row r="30" ht="14.25" customHeight="1">
      <c r="A30" s="1"/>
      <c r="B30" s="54" t="s">
        <v>9</v>
      </c>
      <c r="C30" s="55" t="s">
        <v>111</v>
      </c>
      <c r="D30" s="13"/>
      <c r="E30" s="31"/>
      <c r="F30" s="1"/>
      <c r="G30" s="1"/>
      <c r="H30" s="1"/>
      <c r="I30" s="1"/>
      <c r="J30" s="1"/>
      <c r="K30" s="1"/>
      <c r="L30" s="1"/>
      <c r="M30" s="1"/>
      <c r="N30" s="1"/>
      <c r="O30" s="1"/>
      <c r="P30" s="1"/>
      <c r="Q30" s="1"/>
      <c r="R30" s="1"/>
      <c r="S30" s="1"/>
      <c r="T30" s="1"/>
      <c r="U30" s="1"/>
      <c r="V30" s="1"/>
      <c r="W30" s="1"/>
      <c r="X30" s="1"/>
      <c r="Y30" s="1"/>
      <c r="Z30" s="1"/>
    </row>
    <row r="31" ht="14.25" customHeight="1">
      <c r="A31" s="1"/>
      <c r="B31" s="54" t="s">
        <v>10</v>
      </c>
      <c r="C31" s="55" t="s">
        <v>103</v>
      </c>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54" t="s">
        <v>11</v>
      </c>
      <c r="C32" s="55" t="s">
        <v>105</v>
      </c>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54" t="s">
        <v>12</v>
      </c>
      <c r="C33" s="55" t="s">
        <v>107</v>
      </c>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54" t="s">
        <v>5</v>
      </c>
      <c r="C34" s="55" t="s">
        <v>112</v>
      </c>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