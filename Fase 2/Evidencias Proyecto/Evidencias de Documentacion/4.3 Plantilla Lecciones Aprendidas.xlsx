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cciones Aprendidas" sheetId="1" r:id="rId4"/>
    <sheet state="visible" name="Instructivo" sheetId="2" r:id="rId5"/>
    <sheet state="visible" name="Ejemplo" sheetId="3" r:id="rId6"/>
  </sheets>
  <definedNames/>
  <calcPr/>
  <extLst>
    <ext uri="GoogleSheetsCustomDataVersion2">
      <go:sheetsCustomData xmlns:go="http://customooxmlschemas.google.com/" r:id="rId7" roundtripDataChecksum="x1U2dUs5IYf6O5ipDY6LH96OlmF6qrSMLMz1oX44b4E="/>
    </ext>
  </extLst>
</workbook>
</file>

<file path=xl/sharedStrings.xml><?xml version="1.0" encoding="utf-8"?>
<sst xmlns="http://schemas.openxmlformats.org/spreadsheetml/2006/main" count="131" uniqueCount="96">
  <si>
    <t>Registro de lecciones aprendidas</t>
  </si>
  <si>
    <t>Registro de lecciones aprendidas: Instructivo</t>
  </si>
  <si>
    <t>Registro de lecciones aprendidas: Ejemplo</t>
  </si>
  <si>
    <t>Elaborado por: www.pmoinformatica.com</t>
  </si>
  <si>
    <t>Columna</t>
  </si>
  <si>
    <t>Instrucciones</t>
  </si>
  <si>
    <t>Nro. De Referencia</t>
  </si>
  <si>
    <t>Código de Proyecto</t>
  </si>
  <si>
    <t>Nombre del Proyecto</t>
  </si>
  <si>
    <t>Área / Categoría</t>
  </si>
  <si>
    <t>Fecha</t>
  </si>
  <si>
    <t>Amenaza / Oportunidad</t>
  </si>
  <si>
    <t>Título</t>
  </si>
  <si>
    <t>Descripción de la Situación</t>
  </si>
  <si>
    <t>Descripción del Impacto en los objetivos del proyecto</t>
  </si>
  <si>
    <t>Acciones Correctivas y Preventivas Implementadas</t>
  </si>
  <si>
    <t>Lección Aprendida / Recomendaciones</t>
  </si>
  <si>
    <t>XXXX-XXXX-XX</t>
  </si>
  <si>
    <t>LA-01</t>
  </si>
  <si>
    <t>Desarrollo de Sistema para Gestión de Lecciones aprendidas</t>
  </si>
  <si>
    <t>Gestión de Requerimientos</t>
  </si>
  <si>
    <t>RA-2026</t>
  </si>
  <si>
    <t>RollerApp</t>
  </si>
  <si>
    <t>Amenaza</t>
  </si>
  <si>
    <t>Documento de Diseño con insuficiente detalle.</t>
  </si>
  <si>
    <t xml:space="preserve">Ciertos escenarios no fueron descritos en detalle en los documentos funcionales, en su lugar, en algunos casos se hizo referencia al comportamiento de un sistema anterior. 
Está situación ocasionó interpretaciones inadecuadas del alcance por parte del equipo de desarrollo, por lo que ciertos componentes no fueron aceptados por el usuario final. </t>
  </si>
  <si>
    <t>Arquitectura y Base de Datos</t>
  </si>
  <si>
    <t>Se retrasó la fecha de entrega y se incurrieron en costos adicionales por retrabajo.</t>
  </si>
  <si>
    <t>Como acción correctiva, se realizaron reuniones con los usuarios para describir el comportamiento esperado y se actualizó el documento de diseño funcional. Luego se realizaron desarrollos de la funcionalidad esperada.
Como acción preventiva, se revisaron el resto de los documentos de diseño funcional para buscar identificar situaciones similares y tomar los correctivos antes de comenzar a desarrollar esos componentes.</t>
  </si>
  <si>
    <t xml:space="preserve">Implementar un control de aprobación de los documentos funcionales.
Incluir en el checklist de aprobación que el documento describa en detalle los procesos de negocio y comportamiento esperados.
</t>
  </si>
  <si>
    <t>Numeración de la lección aprendida según formato acordado, identifica unívocamente a una lección aprendida.</t>
  </si>
  <si>
    <t>Condición de carrera por sobreagendamiento simultáneo de visitas técnicas.</t>
  </si>
  <si>
    <t>Durante pruebas de estrés, solicitudes concurrentes reservaron el mismo bloque horario, duplicando citas por falta de restricciones en persistencia.</t>
  </si>
  <si>
    <t>Riesgo crítico de colisión operativa en terreno y degradación del SLA comprometido (DEF-01 / RSG-02).</t>
  </si>
  <si>
    <t>Correctiva: Bloqueo pesimista en Spring Boot y restricción UNIQUE compuesta (tecnico_id, fecha, hora_inicio) en MySQL.
Preventiva: Bloqueo preventivo de 15 minutos y tarea programada (@Scheduled) de limpieza.</t>
  </si>
  <si>
    <t>No delegar la exclusión mutua solo a la capa lógica; las restricciones transaccionales de concurrencia deben forzarse en el motor relacional (ACID).</t>
  </si>
  <si>
    <t>El código de proyecto en el que se identificó la lección aprendida.</t>
  </si>
  <si>
    <t>LA-02</t>
  </si>
  <si>
    <t>Gestión del Cronograma / Integraciones</t>
  </si>
  <si>
    <t>Desfase en homologación de callbacks y sesiones de pago en Webpay Plus.</t>
  </si>
  <si>
    <t>La gestión de retornos del SDK (autorización, rechazo, anulación y timeout) y el token_ws móvil demandó más tiempo del previsto.</t>
  </si>
  <si>
    <t>Desviación de 1 semana en la Carta Gantt en la finalización del módulo de pagos (Semana 16 a 17).</t>
  </si>
  <si>
    <t>Correctiva: Reprogramación de pruebas menores de interfaz hacia semanas 18-19 para priorizar el backend.
Preventiva: Servicio de verificación asíncrona y logs de auditoría bancaria.</t>
  </si>
  <si>
    <t>Asignar mayor holgura temporal a pasarelas bancarias externas y construir simuladores locales de callbacks antes de pruebas en staging.</t>
  </si>
  <si>
    <t>LA-03</t>
  </si>
  <si>
    <t>Gestión del Alcance / Ingeniería de Software</t>
  </si>
  <si>
    <t>Nombre descriptivo del proyecto en el que se identificó la lección aprendida.</t>
  </si>
  <si>
    <t>Inconsistencia algorítmica en cálculo por m² y precisión numérica.</t>
  </si>
  <si>
    <t>El prototipo calculaba precios fijos y usaba flotantes (double), omitiendo el mínimo de 1,5 m² (RN-01) y generando desajustes de redondeo.</t>
  </si>
  <si>
    <t>Riesgo de pérdida de margen comercial en cortinas pequeñas y descuadres en órdenes de compra (RFC-001 / DEF-02).</t>
  </si>
  <si>
    <t>Categorías en las que se clasificaran las lecciones aprendidas, por ejemplo, en un proyecto de Desarrollo de Software estás pueden ser Técnicas, Funcionales, Comunicación, Gestión de los implicados, entre otros; o por ejemplo podrían usarse las áreas de conocimiento de la Gestión de Proyecto, por ejemplo alcance, tiempo, calidad, comunicaciones, entre otros.</t>
  </si>
  <si>
    <t>Correctiva: Tramitación de solicitud de cambio RFC-001, actualización de esquemas SQL y refactorización a BigDecimal (HALF_UP).
Preventiva: Pruebas unitarias automatizadas en JUnit para valores límite.</t>
  </si>
  <si>
    <t>Levantar reglas paramétricas con operaciones antes del desarrollo; toda aritmética monetaria debe exigir precisión exacta (BigDecimal).</t>
  </si>
  <si>
    <t>LA-04</t>
  </si>
  <si>
    <t>Arquitectura Técnica / Operaciones</t>
  </si>
  <si>
    <t>Fallas de conectividad móvil en terreno durante reporte de visitas técnicas.</t>
  </si>
  <si>
    <t>En zonas de baja señal celular en la RM, la app móvil perdía enlace con la API, impidiendo consultar órdenes o actualizar estados.</t>
  </si>
  <si>
    <t>Pérdida de trazabilidad inmediata de las instalaciones en el Backoffice administrativo (RSG-05).</t>
  </si>
  <si>
    <t>Correctiva: Implementación de persistencia local en Ionic mediante Capacitor/SQLite para encolar estados.
Preventiva: Servicio en segundo plano para sincronización automática al recuperar red.</t>
  </si>
  <si>
    <t>Día, mes y año en que se presentó la situación descrita.</t>
  </si>
  <si>
    <t>Las aplicaciones móviles de terreno deben diseñarse bajo la filosofía Offline-First, garantizando continuidad operativa sin internet permanente.</t>
  </si>
  <si>
    <t>LA-05</t>
  </si>
  <si>
    <t>Gestión de Recursos / Productividad</t>
  </si>
  <si>
    <t>Oportunidad</t>
  </si>
  <si>
    <t>Optimización del esfuerzo mediante stack homogéneo (Angular e Ionic).</t>
  </si>
  <si>
    <t>El uso del ecosistema TypeScript/Angular permitió compartir DTOs, interfaces, validadores y servicios HTTP entre web y móvil.</t>
  </si>
  <si>
    <t>Ahorro de 120 horas de desarrollo frontend, compensando el retrabajo del backend y logrando exactamente 1.600 horas totales.</t>
  </si>
  <si>
    <t>Correctiva/Aprovechamiento: Creación de paquetes de modelos y servicios compartidos en el repositorio.
Preventiva: Documentación de la arquitectura modular para facilitar el soporte continuo.</t>
  </si>
  <si>
    <t>La homogeneidad tecnológica en entornos omnicanal reduce la curva técnica, maximiza la reutilización y otorga flexibilidad ante contingencias.</t>
  </si>
  <si>
    <t>Se indica si la lección aprendida está relacionado con un efecto adverso (amenaza) que debe evitarse en el futuro o está asociado con un efecto positivo en el proyecto (oportunidad) sobre el cual deben tomarse acciones para mantenerlo.</t>
  </si>
  <si>
    <t>LA-06</t>
  </si>
  <si>
    <t>Frontend Movil</t>
  </si>
  <si>
    <t>Desfase de zona horaria en dispositivos iOS.</t>
  </si>
  <si>
    <t>El motor de JavaScript de Ionic presentó un manejo conflictivo de zonas horarias al renderizar la agenda en dispositivos Apple.</t>
  </si>
  <si>
    <t>Causaba un error visual que desfasaba la visualizacion de la agentda tecnica en la aplicacion movil.</t>
  </si>
  <si>
    <t>Correctiva: El equipo desarrolló utilidades de fecha propias en TypeScript para sincronizar la interpretacion de fechas entre el servidor y los dispositivos Apple.</t>
  </si>
  <si>
    <t>Estandarizar estrictamente el manejo y conversion de zonas horarias en todo el ecosistema desde la fase de arquitectura.</t>
  </si>
  <si>
    <t>Alusivo a la situación presentada.</t>
  </si>
  <si>
    <t>LA-07</t>
  </si>
  <si>
    <t>Backend / Base de Datos</t>
  </si>
  <si>
    <t>Condicion de carrera en reservas simultaneas.</t>
  </si>
  <si>
    <t>Una condicion de carrera durante las pruebas de carga permitia la asignacion de reservas multiples en la misma hora para un mismo tecnico.</t>
  </si>
  <si>
    <t>Genera sobre agotamiento y colision de horarios en la agenda tecnica, afectando la fiabilidad de las visitas.</t>
  </si>
  <si>
    <t>Correctiva: Se refactorizo el codigo implementando un bloqueo pesimista de escritura en la API y se agrego una restriccion en la tabla agenda_bloques en MySQL.</t>
  </si>
  <si>
    <t>Definir e implementar controles de concurrencia y restricciones de unicidad a nivel de base de datos desde el inicio del modelado relacional.</t>
  </si>
  <si>
    <t>Describe los antecedentes y circunstancias que ocasionaron el asunto sujeto de la lección aprendida, siendo importante el identificar las causas raíz que ocasionaron la situación.</t>
  </si>
  <si>
    <t>LA-08</t>
  </si>
  <si>
    <t>Arquitectura</t>
  </si>
  <si>
    <t>Reutilización de API en arquitectura desacoplada.</t>
  </si>
  <si>
    <t>Se utilizó una única API REST desarrollada en Spring Boot para alimentar simultáneamente el portal web en Angular y la app híbrida en Ionic.</t>
  </si>
  <si>
    <t>Permitió una alta reutilización de componentes modulares, optimizando significativamente los tiempos de desarrollo en la capa de presentación.</t>
  </si>
  <si>
    <t>Preventiva: Se mantuvo la separación estricta de responsabilidades entre el backend y las vistas a lo largo de todos los Sprints.</t>
  </si>
  <si>
    <t>Adoptar siempre un enfoque API-First en proyectos multiplataforma para asegurar que las reglas de negocio se centralicen en una única fuente de verdad.</t>
  </si>
  <si>
    <t>Efecto que la situación planteada tuvo sobre los objetivos del proyecto, por ejemplo: Retraso en la fecha de entrega del proyecto (expresado en unidad de tiempo), incremento de los costos (expresado en unidad de esfuerzo), reducción de niveles de calidad, insatisfacción del cliente, entre otros. También puede reflejar impactos positivos, por ejemplo, se término la actividad antes de la fecha planificada, se ejecutó una actividad a una fracción del costo, entre otros. Es importante expresar el impacto en términos que se puedan medir.</t>
  </si>
  <si>
    <t>Enumerar las acciones correctivas implementadas para reducir o mejorar los efectos de la situación (dependiendo si son amenazas u oportunidades) y acciones preventivas para reducir o incrementar la probabilidad que se vuelvan a presentar en el futuro.</t>
  </si>
  <si>
    <t>Resume las acciones y estrategias a adoptar en el futuro para evitar que se presente nuevamente la amenaza o para aprovechar la oportunidad (si es una lección de impacto positivo). Se construye a partir de las experiencias de las acciones tomadas para corregir la situación.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</si>
</sst>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dd/mm/yyyy"/>
  </numFmts>
  <fonts count="6">
    <font>
      <sz val="11.0"/>
      <color theme="1"/>
      <name val="Calibri"/>
      <scheme val="minor"/>
    </font>
    <font>
      <b/>
      <sz val="28.0"/>
      <color theme="1"/>
      <name val="Calibri"/>
    </font>
    <font>
      <sz val="11.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3" fontId="4" numFmtId="0" xfId="0" applyAlignment="1" applyBorder="1" applyFill="1" applyFont="1">
      <alignment horizontal="center" shrinkToFit="0" vertical="center" wrapText="1"/>
    </xf>
    <xf borderId="2" fillId="2" fontId="2" numFmtId="0" xfId="0" applyAlignment="1" applyBorder="1" applyFill="1" applyFont="1">
      <alignment horizontal="left" shrinkToFit="0" vertical="top" wrapText="1"/>
    </xf>
    <xf borderId="2" fillId="2" fontId="2" numFmtId="0" xfId="0" applyAlignment="1" applyBorder="1" applyFill="1" applyFont="1">
      <alignment readingOrder="0"/>
    </xf>
    <xf borderId="2" fillId="2" fontId="2" numFmtId="164" xfId="0" applyAlignment="1" applyBorder="1" applyFill="1" applyFont="1" applyNumberFormat="1">
      <alignment horizontal="left" shrinkToFit="0" vertical="top" wrapText="1"/>
    </xf>
    <xf borderId="2" fillId="0" fontId="5" numFmtId="0" xfId="0" applyAlignment="1" applyBorder="1" applyFont="1">
      <alignment readingOrder="0"/>
    </xf>
    <xf borderId="2" fillId="2" fontId="2" numFmtId="0" xfId="0" applyAlignment="1" applyBorder="1" applyFill="1" applyFont="1">
      <alignment horizontal="left" vertical="top"/>
    </xf>
    <xf borderId="2" fillId="2" fontId="2" numFmtId="165" xfId="0" applyAlignment="1" applyBorder="1" applyFill="1" applyFont="1" applyNumberFormat="1">
      <alignment readingOrder="0"/>
    </xf>
    <xf borderId="3" fillId="2" fontId="2" numFmtId="0" xfId="0" applyBorder="1" applyFill="1" applyFont="1"/>
    <xf borderId="2" fillId="2" fontId="2" numFmtId="166" xfId="0" applyAlignment="1" applyBorder="1" applyFill="1" applyFont="1" applyNumberFormat="1">
      <alignment readingOrder="0"/>
    </xf>
    <xf borderId="4" fillId="2"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8.29"/>
    <col customWidth="1" min="3" max="3" width="20.0"/>
    <col customWidth="1" min="4" max="4" width="15.14"/>
    <col customWidth="1" min="5" max="5" width="12.57"/>
    <col customWidth="1" min="6" max="6" width="22.43"/>
    <col customWidth="1" min="7" max="7" width="34.14"/>
    <col customWidth="1" min="8" max="8" width="24.86"/>
    <col customWidth="1" min="9" max="9" width="25.86"/>
    <col customWidth="1" min="10" max="10" width="36.57"/>
    <col customWidth="1" min="11" max="11" width="35.71"/>
    <col customWidth="1" min="12" max="26" width="11.43"/>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t="s">
        <v>3</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5" t="s">
        <v>6</v>
      </c>
      <c r="B4" s="5" t="s">
        <v>7</v>
      </c>
      <c r="C4" s="5" t="s">
        <v>8</v>
      </c>
      <c r="D4" s="5" t="s">
        <v>9</v>
      </c>
      <c r="E4" s="5" t="s">
        <v>10</v>
      </c>
      <c r="F4" s="5" t="s">
        <v>11</v>
      </c>
      <c r="G4" s="5" t="s">
        <v>12</v>
      </c>
      <c r="H4" s="5" t="s">
        <v>13</v>
      </c>
      <c r="I4" s="5" t="s">
        <v>14</v>
      </c>
      <c r="J4" s="5" t="s">
        <v>15</v>
      </c>
      <c r="K4" s="5" t="s">
        <v>16</v>
      </c>
      <c r="L4" s="2"/>
      <c r="M4" s="2"/>
      <c r="N4" s="2"/>
      <c r="O4" s="2"/>
      <c r="P4" s="2"/>
      <c r="Q4" s="2"/>
      <c r="R4" s="2"/>
      <c r="S4" s="2"/>
      <c r="T4" s="2"/>
      <c r="U4" s="2"/>
      <c r="V4" s="2"/>
      <c r="W4" s="2"/>
      <c r="X4" s="2"/>
      <c r="Y4" s="2"/>
      <c r="Z4" s="2"/>
    </row>
    <row r="5" ht="14.25" customHeight="1">
      <c r="A5" s="7" t="s">
        <v>18</v>
      </c>
      <c r="B5" s="7" t="s">
        <v>21</v>
      </c>
      <c r="C5" s="9" t="s">
        <v>22</v>
      </c>
      <c r="D5" s="9" t="s">
        <v>26</v>
      </c>
      <c r="E5" s="11">
        <v>46296.0</v>
      </c>
      <c r="F5" s="7" t="s">
        <v>23</v>
      </c>
      <c r="G5" s="7" t="s">
        <v>31</v>
      </c>
      <c r="H5" s="7" t="s">
        <v>32</v>
      </c>
      <c r="I5" s="7" t="s">
        <v>33</v>
      </c>
      <c r="J5" s="7" t="s">
        <v>34</v>
      </c>
      <c r="K5" s="7" t="s">
        <v>35</v>
      </c>
      <c r="L5" s="12"/>
      <c r="M5" s="2"/>
      <c r="N5" s="2"/>
      <c r="O5" s="2"/>
      <c r="P5" s="2"/>
      <c r="Q5" s="2"/>
      <c r="R5" s="2"/>
      <c r="S5" s="2"/>
      <c r="T5" s="2"/>
      <c r="U5" s="2"/>
      <c r="V5" s="2"/>
      <c r="W5" s="2"/>
      <c r="X5" s="2"/>
      <c r="Y5" s="2"/>
      <c r="Z5" s="2"/>
    </row>
    <row r="6" ht="14.25" customHeight="1">
      <c r="A6" s="7" t="s">
        <v>37</v>
      </c>
      <c r="B6" s="7" t="s">
        <v>21</v>
      </c>
      <c r="C6" s="7" t="s">
        <v>22</v>
      </c>
      <c r="D6" s="7" t="s">
        <v>38</v>
      </c>
      <c r="E6" s="11">
        <v>46293.0</v>
      </c>
      <c r="F6" s="7" t="s">
        <v>23</v>
      </c>
      <c r="G6" s="7" t="s">
        <v>39</v>
      </c>
      <c r="H6" s="7" t="s">
        <v>40</v>
      </c>
      <c r="I6" s="7" t="s">
        <v>41</v>
      </c>
      <c r="J6" s="7" t="s">
        <v>42</v>
      </c>
      <c r="K6" s="7" t="s">
        <v>43</v>
      </c>
      <c r="L6" s="12"/>
      <c r="M6" s="2"/>
      <c r="N6" s="2"/>
      <c r="O6" s="2"/>
      <c r="P6" s="2"/>
      <c r="Q6" s="2"/>
      <c r="R6" s="2"/>
      <c r="S6" s="2"/>
      <c r="T6" s="2"/>
      <c r="U6" s="2"/>
      <c r="V6" s="2"/>
      <c r="W6" s="2"/>
      <c r="X6" s="2"/>
      <c r="Y6" s="2"/>
      <c r="Z6" s="2"/>
    </row>
    <row r="7" ht="14.25" customHeight="1">
      <c r="A7" s="7" t="s">
        <v>44</v>
      </c>
      <c r="B7" s="7" t="s">
        <v>21</v>
      </c>
      <c r="C7" s="7" t="s">
        <v>22</v>
      </c>
      <c r="D7" s="7" t="s">
        <v>45</v>
      </c>
      <c r="E7" s="13">
        <v>46287.0</v>
      </c>
      <c r="F7" s="7" t="s">
        <v>23</v>
      </c>
      <c r="G7" s="7" t="s">
        <v>47</v>
      </c>
      <c r="H7" s="7" t="s">
        <v>48</v>
      </c>
      <c r="I7" s="7" t="s">
        <v>49</v>
      </c>
      <c r="J7" s="7" t="s">
        <v>51</v>
      </c>
      <c r="K7" s="7" t="s">
        <v>52</v>
      </c>
      <c r="L7" s="12"/>
      <c r="M7" s="2"/>
      <c r="N7" s="2"/>
      <c r="O7" s="2"/>
      <c r="P7" s="2"/>
      <c r="Q7" s="2"/>
      <c r="R7" s="2"/>
      <c r="S7" s="2"/>
      <c r="T7" s="2"/>
      <c r="U7" s="2"/>
      <c r="V7" s="2"/>
      <c r="W7" s="2"/>
      <c r="X7" s="2"/>
      <c r="Y7" s="2"/>
      <c r="Z7" s="2"/>
    </row>
    <row r="8" ht="23.25" customHeight="1">
      <c r="A8" s="7" t="s">
        <v>53</v>
      </c>
      <c r="B8" s="7" t="s">
        <v>21</v>
      </c>
      <c r="C8" s="7" t="s">
        <v>22</v>
      </c>
      <c r="D8" s="7" t="s">
        <v>54</v>
      </c>
      <c r="E8" s="13">
        <v>46293.0</v>
      </c>
      <c r="F8" s="7" t="s">
        <v>23</v>
      </c>
      <c r="G8" s="7" t="s">
        <v>55</v>
      </c>
      <c r="H8" s="7" t="s">
        <v>56</v>
      </c>
      <c r="I8" s="7" t="s">
        <v>57</v>
      </c>
      <c r="J8" s="7" t="s">
        <v>58</v>
      </c>
      <c r="K8" s="7" t="s">
        <v>60</v>
      </c>
      <c r="L8" s="12"/>
      <c r="M8" s="2"/>
      <c r="N8" s="2"/>
      <c r="O8" s="2"/>
      <c r="P8" s="2"/>
      <c r="Q8" s="2"/>
      <c r="R8" s="2"/>
      <c r="S8" s="2"/>
      <c r="T8" s="2"/>
      <c r="U8" s="2"/>
      <c r="V8" s="2"/>
      <c r="W8" s="2"/>
      <c r="X8" s="2"/>
      <c r="Y8" s="2"/>
      <c r="Z8" s="2"/>
    </row>
    <row r="9" ht="24.0" customHeight="1">
      <c r="A9" s="7" t="s">
        <v>61</v>
      </c>
      <c r="B9" s="7" t="s">
        <v>21</v>
      </c>
      <c r="C9" s="7" t="s">
        <v>22</v>
      </c>
      <c r="D9" s="7" t="s">
        <v>62</v>
      </c>
      <c r="E9" s="13">
        <v>46297.0</v>
      </c>
      <c r="F9" s="7" t="s">
        <v>63</v>
      </c>
      <c r="G9" s="7" t="s">
        <v>64</v>
      </c>
      <c r="H9" s="7" t="s">
        <v>65</v>
      </c>
      <c r="I9" s="7" t="s">
        <v>66</v>
      </c>
      <c r="J9" s="7" t="s">
        <v>67</v>
      </c>
      <c r="K9" s="7" t="s">
        <v>68</v>
      </c>
      <c r="L9" s="12"/>
      <c r="M9" s="2"/>
      <c r="N9" s="2"/>
      <c r="O9" s="2"/>
      <c r="P9" s="2"/>
      <c r="Q9" s="2"/>
      <c r="R9" s="2"/>
      <c r="S9" s="2"/>
      <c r="T9" s="2"/>
      <c r="U9" s="2"/>
      <c r="V9" s="2"/>
      <c r="W9" s="2"/>
      <c r="X9" s="2"/>
      <c r="Y9" s="2"/>
      <c r="Z9" s="2"/>
    </row>
    <row r="10" ht="24.75" customHeight="1">
      <c r="A10" s="7" t="s">
        <v>70</v>
      </c>
      <c r="B10" s="7" t="s">
        <v>21</v>
      </c>
      <c r="C10" s="7" t="s">
        <v>22</v>
      </c>
      <c r="D10" s="7" t="s">
        <v>71</v>
      </c>
      <c r="E10" s="11">
        <v>46300.0</v>
      </c>
      <c r="F10" s="7" t="s">
        <v>23</v>
      </c>
      <c r="G10" s="7" t="s">
        <v>72</v>
      </c>
      <c r="H10" s="7" t="s">
        <v>73</v>
      </c>
      <c r="I10" s="7" t="s">
        <v>74</v>
      </c>
      <c r="J10" s="7" t="s">
        <v>75</v>
      </c>
      <c r="K10" s="7" t="s">
        <v>76</v>
      </c>
      <c r="L10" s="12"/>
      <c r="M10" s="2"/>
      <c r="N10" s="2"/>
      <c r="O10" s="2"/>
      <c r="P10" s="2"/>
      <c r="Q10" s="2"/>
      <c r="R10" s="2"/>
      <c r="S10" s="2"/>
      <c r="T10" s="2"/>
      <c r="U10" s="2"/>
      <c r="V10" s="2"/>
      <c r="W10" s="2"/>
      <c r="X10" s="2"/>
      <c r="Y10" s="2"/>
      <c r="Z10" s="2"/>
    </row>
    <row r="11" ht="25.5" customHeight="1">
      <c r="A11" s="7" t="s">
        <v>78</v>
      </c>
      <c r="B11" s="7" t="s">
        <v>21</v>
      </c>
      <c r="C11" s="7" t="s">
        <v>22</v>
      </c>
      <c r="D11" s="7" t="s">
        <v>79</v>
      </c>
      <c r="E11" s="11">
        <v>46298.0</v>
      </c>
      <c r="F11" s="7" t="s">
        <v>23</v>
      </c>
      <c r="G11" s="7" t="s">
        <v>80</v>
      </c>
      <c r="H11" s="7" t="s">
        <v>81</v>
      </c>
      <c r="I11" s="7" t="s">
        <v>82</v>
      </c>
      <c r="J11" s="7" t="s">
        <v>83</v>
      </c>
      <c r="K11" s="7" t="s">
        <v>84</v>
      </c>
      <c r="L11" s="12"/>
      <c r="M11" s="2"/>
      <c r="N11" s="2"/>
      <c r="O11" s="2"/>
      <c r="P11" s="2"/>
      <c r="Q11" s="2"/>
      <c r="R11" s="2"/>
      <c r="S11" s="2"/>
      <c r="T11" s="2"/>
      <c r="U11" s="2"/>
      <c r="V11" s="2"/>
      <c r="W11" s="2"/>
      <c r="X11" s="2"/>
      <c r="Y11" s="2"/>
      <c r="Z11" s="2"/>
    </row>
    <row r="12" ht="24.0" customHeight="1">
      <c r="A12" s="7" t="s">
        <v>86</v>
      </c>
      <c r="B12" s="7" t="s">
        <v>21</v>
      </c>
      <c r="C12" s="7" t="s">
        <v>22</v>
      </c>
      <c r="D12" s="7" t="s">
        <v>87</v>
      </c>
      <c r="E12" s="11">
        <v>46296.0</v>
      </c>
      <c r="F12" s="7" t="s">
        <v>63</v>
      </c>
      <c r="G12" s="9" t="s">
        <v>88</v>
      </c>
      <c r="H12" s="7" t="s">
        <v>89</v>
      </c>
      <c r="I12" s="7" t="s">
        <v>90</v>
      </c>
      <c r="J12" s="7" t="s">
        <v>91</v>
      </c>
      <c r="K12" s="7" t="s">
        <v>92</v>
      </c>
      <c r="L12" s="12"/>
      <c r="M12" s="2"/>
      <c r="N12" s="2"/>
      <c r="O12" s="2"/>
      <c r="P12" s="2"/>
      <c r="Q12" s="2"/>
      <c r="R12" s="2"/>
      <c r="S12" s="2"/>
      <c r="T12" s="2"/>
      <c r="U12" s="2"/>
      <c r="V12" s="2"/>
      <c r="W12" s="2"/>
      <c r="X12" s="2"/>
      <c r="Y12" s="2"/>
      <c r="Z12" s="2"/>
    </row>
    <row r="13" ht="14.25" customHeight="1">
      <c r="A13" s="14"/>
      <c r="B13" s="14"/>
      <c r="C13" s="14"/>
      <c r="D13" s="14"/>
      <c r="E13" s="14"/>
      <c r="F13" s="14"/>
      <c r="G13" s="14"/>
      <c r="H13" s="14"/>
      <c r="I13" s="14"/>
      <c r="J13" s="14"/>
      <c r="K13" s="14"/>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26" width="11.43"/>
  </cols>
  <sheetData>
    <row r="1" ht="14.25" customHeight="1">
      <c r="A1" s="1" t="s">
        <v>1</v>
      </c>
      <c r="B1" s="2"/>
      <c r="C1" s="2"/>
      <c r="D1" s="2"/>
      <c r="E1" s="2"/>
      <c r="F1" s="2"/>
      <c r="G1" s="2"/>
      <c r="H1" s="2"/>
      <c r="I1" s="2"/>
      <c r="J1" s="2"/>
      <c r="K1" s="2"/>
      <c r="L1" s="2"/>
      <c r="M1" s="2"/>
      <c r="N1" s="2"/>
      <c r="O1" s="2"/>
      <c r="P1" s="2"/>
      <c r="Q1" s="2"/>
      <c r="R1" s="2"/>
      <c r="S1" s="2"/>
      <c r="T1" s="2"/>
      <c r="U1" s="2"/>
      <c r="V1" s="2"/>
      <c r="W1" s="2"/>
      <c r="X1" s="2"/>
      <c r="Y1" s="2"/>
      <c r="Z1" s="2"/>
    </row>
    <row r="2" ht="14.25" customHeight="1">
      <c r="A2" s="3" t="s">
        <v>3</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4" t="s">
        <v>4</v>
      </c>
      <c r="B4" s="4" t="s">
        <v>5</v>
      </c>
      <c r="C4" s="2"/>
      <c r="D4" s="2"/>
      <c r="E4" s="2"/>
      <c r="F4" s="2"/>
      <c r="G4" s="2"/>
      <c r="H4" s="2"/>
      <c r="I4" s="2"/>
      <c r="J4" s="2"/>
      <c r="K4" s="2"/>
      <c r="L4" s="2"/>
      <c r="M4" s="2"/>
      <c r="N4" s="2"/>
      <c r="O4" s="2"/>
      <c r="P4" s="2"/>
      <c r="Q4" s="2"/>
      <c r="R4" s="2"/>
      <c r="S4" s="2"/>
      <c r="T4" s="2"/>
      <c r="U4" s="2"/>
      <c r="V4" s="2"/>
      <c r="W4" s="2"/>
      <c r="X4" s="2"/>
      <c r="Y4" s="2"/>
      <c r="Z4" s="2"/>
    </row>
    <row r="5" ht="14.25" customHeight="1">
      <c r="A5" s="10" t="str">
        <f>'Lecciones Aprendidas'!A4</f>
        <v>Nro. De Referencia</v>
      </c>
      <c r="B5" s="6" t="s">
        <v>30</v>
      </c>
      <c r="C5" s="2"/>
      <c r="D5" s="2"/>
      <c r="E5" s="2"/>
      <c r="F5" s="2"/>
      <c r="G5" s="2"/>
      <c r="H5" s="2"/>
      <c r="I5" s="2"/>
      <c r="J5" s="2"/>
      <c r="K5" s="2"/>
      <c r="L5" s="2"/>
      <c r="M5" s="2"/>
      <c r="N5" s="2"/>
      <c r="O5" s="2"/>
      <c r="P5" s="2"/>
      <c r="Q5" s="2"/>
      <c r="R5" s="2"/>
      <c r="S5" s="2"/>
      <c r="T5" s="2"/>
      <c r="U5" s="2"/>
      <c r="V5" s="2"/>
      <c r="W5" s="2"/>
      <c r="X5" s="2"/>
      <c r="Y5" s="2"/>
      <c r="Z5" s="2"/>
    </row>
    <row r="6" ht="14.25" customHeight="1">
      <c r="A6" s="10" t="str">
        <f>'Lecciones Aprendidas'!B4</f>
        <v>Código de Proyecto</v>
      </c>
      <c r="B6" s="6" t="s">
        <v>36</v>
      </c>
      <c r="C6" s="2"/>
      <c r="D6" s="2"/>
      <c r="E6" s="2"/>
      <c r="F6" s="2"/>
      <c r="G6" s="2"/>
      <c r="H6" s="2"/>
      <c r="I6" s="2"/>
      <c r="J6" s="2"/>
      <c r="K6" s="2"/>
      <c r="L6" s="2"/>
      <c r="M6" s="2"/>
      <c r="N6" s="2"/>
      <c r="O6" s="2"/>
      <c r="P6" s="2"/>
      <c r="Q6" s="2"/>
      <c r="R6" s="2"/>
      <c r="S6" s="2"/>
      <c r="T6" s="2"/>
      <c r="U6" s="2"/>
      <c r="V6" s="2"/>
      <c r="W6" s="2"/>
      <c r="X6" s="2"/>
      <c r="Y6" s="2"/>
      <c r="Z6" s="2"/>
    </row>
    <row r="7" ht="14.25" customHeight="1">
      <c r="A7" s="10" t="str">
        <f>'Lecciones Aprendidas'!C4</f>
        <v>Nombre del Proyecto</v>
      </c>
      <c r="B7" s="6" t="s">
        <v>46</v>
      </c>
      <c r="C7" s="2"/>
      <c r="D7" s="2"/>
      <c r="E7" s="2"/>
      <c r="F7" s="2"/>
      <c r="G7" s="2"/>
      <c r="H7" s="2"/>
      <c r="I7" s="2"/>
      <c r="J7" s="2"/>
      <c r="K7" s="2"/>
      <c r="L7" s="2"/>
      <c r="M7" s="2"/>
      <c r="N7" s="2"/>
      <c r="O7" s="2"/>
      <c r="P7" s="2"/>
      <c r="Q7" s="2"/>
      <c r="R7" s="2"/>
      <c r="S7" s="2"/>
      <c r="T7" s="2"/>
      <c r="U7" s="2"/>
      <c r="V7" s="2"/>
      <c r="W7" s="2"/>
      <c r="X7" s="2"/>
      <c r="Y7" s="2"/>
      <c r="Z7" s="2"/>
    </row>
    <row r="8" ht="14.25" customHeight="1">
      <c r="A8" s="10" t="str">
        <f>'Lecciones Aprendidas'!D4</f>
        <v>Área / Categoría</v>
      </c>
      <c r="B8" s="6" t="s">
        <v>50</v>
      </c>
      <c r="C8" s="2"/>
      <c r="D8" s="2"/>
      <c r="E8" s="2"/>
      <c r="F8" s="2"/>
      <c r="G8" s="2"/>
      <c r="H8" s="2"/>
      <c r="I8" s="2"/>
      <c r="J8" s="2"/>
      <c r="K8" s="2"/>
      <c r="L8" s="2"/>
      <c r="M8" s="2"/>
      <c r="N8" s="2"/>
      <c r="O8" s="2"/>
      <c r="P8" s="2"/>
      <c r="Q8" s="2"/>
      <c r="R8" s="2"/>
      <c r="S8" s="2"/>
      <c r="T8" s="2"/>
      <c r="U8" s="2"/>
      <c r="V8" s="2"/>
      <c r="W8" s="2"/>
      <c r="X8" s="2"/>
      <c r="Y8" s="2"/>
      <c r="Z8" s="2"/>
    </row>
    <row r="9" ht="14.25" customHeight="1">
      <c r="A9" s="10" t="str">
        <f>'Lecciones Aprendidas'!E4</f>
        <v>Fecha</v>
      </c>
      <c r="B9" s="6" t="s">
        <v>59</v>
      </c>
      <c r="C9" s="2"/>
      <c r="D9" s="2"/>
      <c r="E9" s="2"/>
      <c r="F9" s="2"/>
      <c r="G9" s="2"/>
      <c r="H9" s="2"/>
      <c r="I9" s="2"/>
      <c r="J9" s="2"/>
      <c r="K9" s="2"/>
      <c r="L9" s="2"/>
      <c r="M9" s="2"/>
      <c r="N9" s="2"/>
      <c r="O9" s="2"/>
      <c r="P9" s="2"/>
      <c r="Q9" s="2"/>
      <c r="R9" s="2"/>
      <c r="S9" s="2"/>
      <c r="T9" s="2"/>
      <c r="U9" s="2"/>
      <c r="V9" s="2"/>
      <c r="W9" s="2"/>
      <c r="X9" s="2"/>
      <c r="Y9" s="2"/>
      <c r="Z9" s="2"/>
    </row>
    <row r="10" ht="14.25" customHeight="1">
      <c r="A10" s="10" t="str">
        <f>'Lecciones Aprendidas'!F4</f>
        <v>Amenaza / Oportunidad</v>
      </c>
      <c r="B10" s="6" t="s">
        <v>69</v>
      </c>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10" t="str">
        <f>'Lecciones Aprendidas'!G4</f>
        <v>Título</v>
      </c>
      <c r="B11" s="6" t="s">
        <v>77</v>
      </c>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10" t="str">
        <f>'Lecciones Aprendidas'!H4</f>
        <v>Descripción de la Situación</v>
      </c>
      <c r="B12" s="6" t="s">
        <v>85</v>
      </c>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10" t="str">
        <f>'Lecciones Aprendidas'!I4</f>
        <v>Descripción del Impacto en los objetivos del proyecto</v>
      </c>
      <c r="B13" s="6" t="s">
        <v>93</v>
      </c>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10" t="str">
        <f>'Lecciones Aprendidas'!J4</f>
        <v>Acciones Correctivas y Preventivas Implementadas</v>
      </c>
      <c r="B14" s="6" t="s">
        <v>94</v>
      </c>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10" t="str">
        <f>'Lecciones Aprendidas'!K4</f>
        <v>Lección Aprendida / Recomendaciones</v>
      </c>
      <c r="B15" s="6" t="s">
        <v>95</v>
      </c>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3.86"/>
    <col customWidth="1" min="3" max="3" width="20.0"/>
    <col customWidth="1" min="4" max="4" width="15.29"/>
    <col customWidth="1" min="5" max="5" width="12.57"/>
    <col customWidth="1" min="6" max="6" width="12.29"/>
    <col customWidth="1" min="7" max="7" width="24.43"/>
    <col customWidth="1" min="8" max="8" width="37.57"/>
    <col customWidth="1" min="9" max="9" width="26.0"/>
    <col customWidth="1" min="10" max="10" width="36.57"/>
    <col customWidth="1" min="11" max="11" width="33.43"/>
    <col customWidth="1" min="12" max="26" width="11.43"/>
  </cols>
  <sheetData>
    <row r="1" ht="14.25" customHeight="1">
      <c r="A1" s="1" t="s">
        <v>2</v>
      </c>
      <c r="B1" s="2"/>
      <c r="C1" s="2"/>
      <c r="D1" s="2"/>
      <c r="E1" s="2"/>
      <c r="F1" s="2"/>
      <c r="G1" s="2"/>
      <c r="H1" s="2"/>
      <c r="I1" s="2"/>
      <c r="J1" s="2"/>
      <c r="K1" s="2"/>
      <c r="L1" s="2"/>
      <c r="M1" s="2"/>
      <c r="N1" s="2"/>
      <c r="O1" s="2"/>
      <c r="P1" s="2"/>
      <c r="Q1" s="2"/>
      <c r="R1" s="2"/>
      <c r="S1" s="2"/>
      <c r="T1" s="2"/>
      <c r="U1" s="2"/>
      <c r="V1" s="2"/>
      <c r="W1" s="2"/>
      <c r="X1" s="2"/>
      <c r="Y1" s="2"/>
      <c r="Z1" s="2"/>
    </row>
    <row r="2" ht="14.25" customHeight="1">
      <c r="A2" s="3" t="s">
        <v>3</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5" t="s">
        <v>6</v>
      </c>
      <c r="B4" s="5" t="s">
        <v>7</v>
      </c>
      <c r="C4" s="5" t="s">
        <v>8</v>
      </c>
      <c r="D4" s="5" t="s">
        <v>9</v>
      </c>
      <c r="E4" s="5" t="s">
        <v>10</v>
      </c>
      <c r="F4" s="5" t="s">
        <v>11</v>
      </c>
      <c r="G4" s="5" t="s">
        <v>12</v>
      </c>
      <c r="H4" s="5" t="s">
        <v>13</v>
      </c>
      <c r="I4" s="5" t="s">
        <v>14</v>
      </c>
      <c r="J4" s="5" t="s">
        <v>15</v>
      </c>
      <c r="K4" s="5" t="s">
        <v>16</v>
      </c>
      <c r="L4" s="2"/>
      <c r="M4" s="2"/>
      <c r="N4" s="2"/>
      <c r="O4" s="2"/>
      <c r="P4" s="2"/>
      <c r="Q4" s="2"/>
      <c r="R4" s="2"/>
      <c r="S4" s="2"/>
      <c r="T4" s="2"/>
      <c r="U4" s="2"/>
      <c r="V4" s="2"/>
      <c r="W4" s="2"/>
      <c r="X4" s="2"/>
      <c r="Y4" s="2"/>
      <c r="Z4" s="2"/>
    </row>
    <row r="5" ht="14.25" customHeight="1">
      <c r="A5" s="6" t="s">
        <v>17</v>
      </c>
      <c r="B5" s="6" t="s">
        <v>17</v>
      </c>
      <c r="C5" s="6" t="s">
        <v>19</v>
      </c>
      <c r="D5" s="6" t="s">
        <v>20</v>
      </c>
      <c r="E5" s="8">
        <v>40844.0</v>
      </c>
      <c r="F5" s="6" t="s">
        <v>23</v>
      </c>
      <c r="G5" s="6" t="s">
        <v>24</v>
      </c>
      <c r="H5" s="6" t="s">
        <v>25</v>
      </c>
      <c r="I5" s="6" t="s">
        <v>27</v>
      </c>
      <c r="J5" s="6" t="s">
        <v>28</v>
      </c>
      <c r="K5" s="6" t="s">
        <v>29</v>
      </c>
      <c r="L5" s="2"/>
      <c r="M5" s="2"/>
      <c r="N5" s="2"/>
      <c r="O5" s="2"/>
      <c r="P5" s="2"/>
      <c r="Q5" s="2"/>
      <c r="R5" s="2"/>
      <c r="S5" s="2"/>
      <c r="T5" s="2"/>
      <c r="U5" s="2"/>
      <c r="V5" s="2"/>
      <c r="W5" s="2"/>
      <c r="X5" s="2"/>
      <c r="Y5" s="2"/>
      <c r="Z5" s="2"/>
    </row>
    <row r="6" ht="14.25" customHeight="1">
      <c r="A6" s="2"/>
      <c r="B6" s="2"/>
      <c r="C6" s="2"/>
      <c r="D6" s="2"/>
      <c r="E6" s="2"/>
      <c r="F6" s="2"/>
      <c r="G6" s="2"/>
      <c r="H6" s="2"/>
      <c r="I6" s="2"/>
      <c r="J6" s="2"/>
      <c r="K6" s="2"/>
      <c r="L6" s="2"/>
      <c r="M6" s="2"/>
      <c r="N6" s="2"/>
      <c r="O6" s="2"/>
      <c r="P6" s="2"/>
      <c r="Q6" s="2"/>
      <c r="R6" s="2"/>
      <c r="S6" s="2"/>
      <c r="T6" s="2"/>
      <c r="U6" s="2"/>
      <c r="V6" s="2"/>
      <c r="W6" s="2"/>
      <c r="X6" s="2"/>
      <c r="Y6" s="2"/>
      <c r="Z6" s="2"/>
    </row>
    <row r="7" ht="14.25" customHeight="1">
      <c r="A7" s="2"/>
      <c r="B7" s="2"/>
      <c r="C7" s="2"/>
      <c r="D7" s="2"/>
      <c r="E7" s="2"/>
      <c r="F7" s="2"/>
      <c r="G7" s="2"/>
      <c r="H7" s="2"/>
      <c r="I7" s="2"/>
      <c r="J7" s="2"/>
      <c r="K7" s="2"/>
      <c r="L7" s="2"/>
      <c r="M7" s="2"/>
      <c r="N7" s="2"/>
      <c r="O7" s="2"/>
      <c r="P7" s="2"/>
      <c r="Q7" s="2"/>
      <c r="R7" s="2"/>
      <c r="S7" s="2"/>
      <c r="T7" s="2"/>
      <c r="U7" s="2"/>
      <c r="V7" s="2"/>
      <c r="W7" s="2"/>
      <c r="X7" s="2"/>
      <c r="Y7" s="2"/>
      <c r="Z7" s="2"/>
    </row>
    <row r="8" ht="14.25" customHeight="1">
      <c r="A8" s="2"/>
      <c r="B8" s="2"/>
      <c r="C8" s="2"/>
      <c r="D8" s="2"/>
      <c r="E8" s="2"/>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