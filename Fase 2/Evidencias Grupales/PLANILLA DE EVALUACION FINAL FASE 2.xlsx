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Gamer\Downloads\"/>
    </mc:Choice>
  </mc:AlternateContent>
  <xr:revisionPtr revIDLastSave="0" documentId="13_ncr:1_{4396E44A-AF1A-4658-93C8-F54AC81A0B1C}"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7" i="1" l="1"/>
  <c r="J63" i="1"/>
  <c r="K63" i="1" s="1"/>
  <c r="H63" i="1"/>
  <c r="I63" i="1" s="1"/>
  <c r="F63" i="1"/>
  <c r="G63" i="1" s="1"/>
  <c r="D63" i="1"/>
  <c r="E63" i="1" s="1"/>
  <c r="B63" i="1"/>
  <c r="J62" i="1"/>
  <c r="K62" i="1" s="1"/>
  <c r="K64" i="1" s="1"/>
  <c r="I62" i="1"/>
  <c r="H62" i="1"/>
  <c r="G62" i="1"/>
  <c r="F62" i="1"/>
  <c r="D62" i="1"/>
  <c r="E62" i="1" s="1"/>
  <c r="B62" i="1"/>
  <c r="J61" i="1"/>
  <c r="K61" i="1" s="1"/>
  <c r="H61" i="1"/>
  <c r="I61" i="1" s="1"/>
  <c r="I64" i="1" s="1"/>
  <c r="F61" i="1"/>
  <c r="G61" i="1" s="1"/>
  <c r="G64" i="1" s="1"/>
  <c r="D61" i="1"/>
  <c r="E61" i="1" s="1"/>
  <c r="E64" i="1" s="1"/>
  <c r="C64" i="1" s="1"/>
  <c r="C65" i="1" s="1"/>
  <c r="B61" i="1"/>
  <c r="C7" i="1"/>
  <c r="E7" i="1" s="1"/>
  <c r="C4" i="1" l="1"/>
  <c r="D4" i="1"/>
  <c r="C5" i="1"/>
  <c r="D5" i="1"/>
  <c r="C6" i="1"/>
  <c r="D6" i="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E20" i="1" l="1"/>
  <c r="G20" i="1"/>
  <c r="I20" i="1"/>
  <c r="K14" i="1"/>
  <c r="C31" i="1" l="1"/>
  <c r="C32" i="1" s="1"/>
  <c r="K20" i="1"/>
  <c r="C20" i="1" s="1"/>
  <c r="C21" i="1" s="1"/>
  <c r="E6" i="1" l="1"/>
  <c r="E5" i="1"/>
  <c r="E4" i="1" l="1"/>
</calcChain>
</file>

<file path=xl/sharedStrings.xml><?xml version="1.0" encoding="utf-8"?>
<sst xmlns="http://schemas.openxmlformats.org/spreadsheetml/2006/main" count="154" uniqueCount="80">
  <si>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</si>
  <si>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</si>
  <si>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</si>
  <si>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</si>
  <si>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</si>
  <si>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</si>
  <si>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</si>
  <si>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</si>
  <si>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</si>
  <si>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</si>
  <si>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</si>
  <si>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</si>
  <si>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</si>
  <si>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</si>
  <si>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</si>
  <si>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</si>
  <si>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</si>
  <si>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</si>
  <si>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</si>
  <si>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</si>
  <si>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</si>
  <si>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</si>
  <si>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</si>
  <si>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</si>
  <si>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</si>
  <si>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</si>
  <si>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</si>
  <si>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</si>
  <si>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</si>
  <si>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</si>
  <si>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</si>
  <si>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</si>
  <si>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</si>
  <si>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</si>
  <si>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</si>
  <si>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</si>
  <si>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</si>
  <si>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</si>
  <si>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</si>
  <si>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</si>
  <si>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</si>
  <si>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</si>
  <si>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</si>
  <si>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</si>
  <si>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</si>
  <si>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</si>
  <si>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</si>
  <si>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</si>
  <si>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</si>
  <si>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</si>
  <si>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</si>
  <si>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</si>
  <si>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</si>
  <si>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</si>
  <si>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</si>
  <si>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</si>
  <si>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</si>
  <si>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</si>
  <si>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</si>
  <si>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</si>
  <si>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</si>
  <si>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</si>
  <si>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</si>
  <si>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</si>
  <si>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</si>
  <si>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</si>
  <si>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</si>
  <si>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</si>
  <si>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</si>
  <si>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</si>
  <si>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</si>
  <si>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</si>
  <si>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</si>
  <si>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</si>
  <si>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</si>
  <si>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</si>
  <si>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Lucas Olea</t>
  </si>
  <si>
    <t>Rodrigo Riquelme</t>
  </si>
  <si>
    <t>Marco Antonio Robles Garrido</t>
  </si>
  <si>
    <t>Rodrigo Soto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</si>
</sst>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6">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xf numFmtId="0" fontId="14" fillId="0" borderId="16" xfId="0" applyFont="1" applyBorder="1" applyAlignment="1">
      <alignment horizontal="left"/>
    </xf>
    <xf numFmtId="0" fontId="0" fillId="0" borderId="24" xfId="0"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69" t="s">
        <v>0</v>
      </c>
      <c r="B1" s="69" t="s">
        <v>1</v>
      </c>
      <c r="C1" s="69"/>
      <c r="D1" s="69"/>
      <c r="E1" s="69"/>
      <c r="F1" s="69" t="s">
        <v>2</v>
      </c>
    </row>
    <row r="2" spans="1:6" x14ac:dyDescent="0.25">
      <c r="A2" s="69"/>
      <c r="B2" s="70" t="s">
        <v>3</v>
      </c>
      <c r="C2" s="70" t="s">
        <v>4</v>
      </c>
      <c r="D2" s="35" t="s">
        <v>5</v>
      </c>
      <c r="E2" s="34" t="s">
        <v>6</v>
      </c>
      <c r="F2" s="69"/>
    </row>
    <row r="3" spans="1:6" x14ac:dyDescent="0.25">
      <c r="A3" s="69"/>
      <c r="B3" s="70"/>
      <c r="C3" s="70"/>
      <c r="D3" s="36">
        <v>-0.3</v>
      </c>
      <c r="E3" s="36">
        <v>0</v>
      </c>
      <c r="F3" s="69"/>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9" sqref="B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6">
        <v>1</v>
      </c>
    </row>
    <row r="3" spans="1:11" ht="30" x14ac:dyDescent="0.25">
      <c r="B3" s="3" t="s">
        <v>57</v>
      </c>
      <c r="C3" s="39" t="s">
        <v>58</v>
      </c>
      <c r="D3" s="40" t="s">
        <v>59</v>
      </c>
      <c r="E3" s="52"/>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74" t="s">
        <v>78</v>
      </c>
      <c r="C6" s="5">
        <f>EVALUACION1!$C$21</f>
        <v>7</v>
      </c>
      <c r="D6" s="5">
        <f>C55</f>
        <v>7</v>
      </c>
      <c r="E6" s="6">
        <f t="shared" si="0"/>
        <v>7</v>
      </c>
      <c r="G6" s="1"/>
    </row>
    <row r="7" spans="1:11" ht="15" customHeight="1" x14ac:dyDescent="0.25">
      <c r="A7" s="73">
        <v>4</v>
      </c>
      <c r="B7" s="75" t="s">
        <v>79</v>
      </c>
      <c r="C7" s="5">
        <f>EVALUACION1!$C$21</f>
        <v>7</v>
      </c>
      <c r="D7" s="5">
        <v>7</v>
      </c>
      <c r="E7" s="6">
        <f t="shared" ref="E7" si="1">C7*C$2+D7*D$2</f>
        <v>7</v>
      </c>
    </row>
    <row r="11" spans="1:11" ht="18.75" outlineLevel="1" x14ac:dyDescent="0.25">
      <c r="A11" s="67" t="s">
        <v>58</v>
      </c>
      <c r="B11" s="14"/>
      <c r="C11" s="53" t="s">
        <v>60</v>
      </c>
      <c r="D11" s="60" t="s">
        <v>61</v>
      </c>
      <c r="E11" s="65"/>
      <c r="F11" s="65"/>
      <c r="G11" s="65"/>
      <c r="H11" s="65"/>
      <c r="I11" s="65"/>
      <c r="J11" s="65"/>
      <c r="K11" s="61"/>
    </row>
    <row r="12" spans="1:11" outlineLevel="1" x14ac:dyDescent="0.25">
      <c r="A12" s="63"/>
      <c r="B12" s="24" t="s">
        <v>62</v>
      </c>
      <c r="C12" s="52"/>
      <c r="D12" s="60" t="s">
        <v>63</v>
      </c>
      <c r="E12" s="61"/>
      <c r="F12" s="60" t="s">
        <v>64</v>
      </c>
      <c r="G12" s="61"/>
      <c r="H12" s="64" t="s">
        <v>65</v>
      </c>
      <c r="I12" s="61"/>
      <c r="J12" s="60" t="s">
        <v>6</v>
      </c>
      <c r="K12" s="61"/>
    </row>
    <row r="13" spans="1:11" ht="24" outlineLevel="1" x14ac:dyDescent="0.25">
      <c r="A13" s="68"/>
      <c r="B13" s="30" t="str">
        <f>RUBRICA!A4</f>
        <v>1. Implementa una metodología que permite el logro de los objetivos propuestos, de acuerdo a los estándares de la disciplina.</v>
      </c>
      <c r="C13" s="28" t="s">
        <v>63</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48" outlineLevel="1" x14ac:dyDescent="0.25">
      <c r="A14" s="68"/>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2"/>
        <v>X</v>
      </c>
      <c r="E14" s="16">
        <f>IF(D14="X",100*0.2,"")</f>
        <v>20</v>
      </c>
      <c r="F14" s="16" t="str">
        <f t="shared" si="3"/>
        <v/>
      </c>
      <c r="G14" s="16" t="str">
        <f>IF(F14="X",60*0.2,"")</f>
        <v/>
      </c>
      <c r="H14" s="16" t="str">
        <f t="shared" si="4"/>
        <v/>
      </c>
      <c r="I14" s="16" t="str">
        <f>IF(H14="X",30*0.2,"")</f>
        <v/>
      </c>
      <c r="J14" s="16" t="str">
        <f t="shared" si="5"/>
        <v/>
      </c>
      <c r="K14" s="16" t="str">
        <f t="shared" si="6"/>
        <v/>
      </c>
    </row>
    <row r="15" spans="1:11" ht="24" outlineLevel="1" x14ac:dyDescent="0.25">
      <c r="A15" s="68"/>
      <c r="B15" s="30" t="str">
        <f>RUBRICA!A7</f>
        <v>4. Relaciona el Proyecto APT con las competencias del perfil de egreso de su Plan de Estudio.</v>
      </c>
      <c r="C15" s="28" t="s">
        <v>63</v>
      </c>
      <c r="D15" s="16" t="str">
        <f t="shared" si="2"/>
        <v>X</v>
      </c>
      <c r="E15" s="16">
        <f>IF(D15="X",100*0.05,"")</f>
        <v>5</v>
      </c>
      <c r="F15" s="16" t="str">
        <f t="shared" si="3"/>
        <v/>
      </c>
      <c r="G15" s="16" t="str">
        <f>IF(F15="X",60*0.05,"")</f>
        <v/>
      </c>
      <c r="H15" s="16" t="str">
        <f t="shared" si="4"/>
        <v/>
      </c>
      <c r="I15" s="16" t="str">
        <f>IF(H15="X",30*0.05,"")</f>
        <v/>
      </c>
      <c r="J15" s="16" t="str">
        <f t="shared" si="5"/>
        <v/>
      </c>
      <c r="K15" s="16" t="str">
        <f t="shared" si="6"/>
        <v/>
      </c>
    </row>
    <row r="16" spans="1:11" ht="24" outlineLevel="1" x14ac:dyDescent="0.25">
      <c r="A16" s="68"/>
      <c r="B16" s="30" t="str">
        <f>RUBRICA!A8</f>
        <v>5. Utiliza de manera precisa el lenguaje técnico en los entregables de acuerdo con lo requerido por la disciplina.</v>
      </c>
      <c r="C16" s="28" t="s">
        <v>63</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25">
      <c r="A17" s="68"/>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7">IF($J17="X",0,"")</f>
        <v/>
      </c>
    </row>
    <row r="18" spans="1:11" ht="36" outlineLevel="1" x14ac:dyDescent="0.25">
      <c r="A18" s="68"/>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7"/>
        <v/>
      </c>
    </row>
    <row r="19" spans="1:11" ht="22.9" customHeight="1" outlineLevel="1" x14ac:dyDescent="0.25">
      <c r="A19" s="68"/>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7"/>
        <v/>
      </c>
    </row>
    <row r="20" spans="1:11" ht="15.75" customHeight="1" outlineLevel="1" x14ac:dyDescent="0.3">
      <c r="A20" s="63"/>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2"/>
      <c r="B21" s="32" t="s">
        <v>67</v>
      </c>
      <c r="C21" s="20">
        <f>VLOOKUP(C20,ESCALA_IEP!A1:B152,2,FALSE)</f>
        <v>7</v>
      </c>
    </row>
    <row r="22" spans="1:11" ht="15.75" customHeight="1" x14ac:dyDescent="0.25"/>
    <row r="23" spans="1:11" ht="15.75" customHeight="1" x14ac:dyDescent="0.25"/>
    <row r="24" spans="1:11" ht="15.75" customHeight="1" x14ac:dyDescent="0.25">
      <c r="A24" s="62" t="s">
        <v>59</v>
      </c>
      <c r="B24" s="51" t="s">
        <v>68</v>
      </c>
      <c r="C24" s="54" t="str">
        <f>$B$4</f>
        <v>Lucas Olea</v>
      </c>
      <c r="D24" s="55"/>
      <c r="E24" s="55"/>
      <c r="F24" s="55"/>
      <c r="G24" s="55"/>
      <c r="H24" s="55"/>
      <c r="I24" s="55"/>
      <c r="J24" s="55"/>
      <c r="K24" s="56"/>
    </row>
    <row r="25" spans="1:11" ht="15.75" customHeight="1" x14ac:dyDescent="0.25">
      <c r="A25" s="63"/>
      <c r="B25" s="52"/>
      <c r="C25" s="57"/>
      <c r="D25" s="58"/>
      <c r="E25" s="58"/>
      <c r="F25" s="58"/>
      <c r="G25" s="58"/>
      <c r="H25" s="58"/>
      <c r="I25" s="58"/>
      <c r="J25" s="58"/>
      <c r="K25" s="59"/>
    </row>
    <row r="26" spans="1:11" ht="15.75" customHeight="1" x14ac:dyDescent="0.25">
      <c r="A26" s="63"/>
      <c r="B26" s="14" t="s">
        <v>69</v>
      </c>
      <c r="C26" s="53" t="s">
        <v>60</v>
      </c>
      <c r="D26" s="60" t="s">
        <v>61</v>
      </c>
      <c r="E26" s="65"/>
      <c r="F26" s="65"/>
      <c r="G26" s="65"/>
      <c r="H26" s="65"/>
      <c r="I26" s="65"/>
      <c r="J26" s="65"/>
      <c r="K26" s="61"/>
    </row>
    <row r="27" spans="1:11" ht="15.75" customHeight="1" x14ac:dyDescent="0.25">
      <c r="A27" s="63"/>
      <c r="B27" s="15" t="s">
        <v>62</v>
      </c>
      <c r="C27" s="52"/>
      <c r="D27" s="60" t="s">
        <v>63</v>
      </c>
      <c r="E27" s="61"/>
      <c r="F27" s="60" t="s">
        <v>64</v>
      </c>
      <c r="G27" s="61"/>
      <c r="H27" s="64" t="s">
        <v>65</v>
      </c>
      <c r="I27" s="61"/>
      <c r="J27" s="60" t="s">
        <v>6</v>
      </c>
      <c r="K27" s="61"/>
    </row>
    <row r="28" spans="1:11" x14ac:dyDescent="0.25">
      <c r="A28" s="63"/>
      <c r="B28" s="30" t="str">
        <f>RUBRICA!A6</f>
        <v>3. Relaciona el Proyecto APT con sus intereses profesionales. *</v>
      </c>
      <c r="C28" s="28" t="s">
        <v>63</v>
      </c>
      <c r="D28" s="16" t="str">
        <f t="shared" ref="D28:D30" si="8">IF($C28=CL,"X","")</f>
        <v>X</v>
      </c>
      <c r="E28" s="16">
        <f>IF(D28="X",100*0.05,"")</f>
        <v>5</v>
      </c>
      <c r="F28" s="16" t="str">
        <f t="shared" ref="F28:F30" si="9">IF($C28=L,"X","")</f>
        <v/>
      </c>
      <c r="G28" s="16" t="str">
        <f>IF(F28="X",60*0.05,"")</f>
        <v/>
      </c>
      <c r="H28" s="16" t="str">
        <f t="shared" ref="H28:H30" si="10">IF($C28=ML,"X","")</f>
        <v/>
      </c>
      <c r="I28" s="16" t="str">
        <f>IF(H28="X",30*0.05,"")</f>
        <v/>
      </c>
      <c r="J28" s="16" t="str">
        <f t="shared" ref="J28:J30" si="11">IF($C28=NL,"X","")</f>
        <v/>
      </c>
      <c r="K28" s="16" t="str">
        <f t="shared" ref="K28:K30" si="12">IF($J28="X",0,"")</f>
        <v/>
      </c>
    </row>
    <row r="29" spans="1:11" ht="24.6" customHeight="1" x14ac:dyDescent="0.25">
      <c r="A29" s="63"/>
      <c r="B29" s="30" t="str">
        <f>RUBRICA!A11</f>
        <v>8. Expone el tema utilizando un lenguaje técnico disciplinar al presentar la propuesta y responde evidenciando un manejo de la información. *</v>
      </c>
      <c r="C29" s="28" t="s">
        <v>63</v>
      </c>
      <c r="D29" s="16" t="str">
        <f t="shared" si="8"/>
        <v>X</v>
      </c>
      <c r="E29" s="16">
        <f>IF(D29="X",100*0.1,"")</f>
        <v>10</v>
      </c>
      <c r="F29" s="16" t="str">
        <f t="shared" si="9"/>
        <v/>
      </c>
      <c r="G29" s="16" t="str">
        <f>IF(F29="X",60*0.1,"")</f>
        <v/>
      </c>
      <c r="H29" s="16" t="str">
        <f t="shared" si="10"/>
        <v/>
      </c>
      <c r="I29" s="16" t="str">
        <f>IF(H29="X",30*0.1,"")</f>
        <v/>
      </c>
      <c r="J29" s="16" t="str">
        <f t="shared" si="11"/>
        <v/>
      </c>
      <c r="K29" s="16" t="str">
        <f t="shared" si="12"/>
        <v/>
      </c>
    </row>
    <row r="30" spans="1:11" ht="25.9" customHeight="1" x14ac:dyDescent="0.25">
      <c r="A30" s="63"/>
      <c r="B30" s="30" t="str">
        <f>RUBRICA!A13</f>
        <v>10. Colaboración y trabajo en equipo *</v>
      </c>
      <c r="C30" s="28" t="s">
        <v>63</v>
      </c>
      <c r="D30" s="16" t="str">
        <f t="shared" si="8"/>
        <v>X</v>
      </c>
      <c r="E30" s="16">
        <f>IF(D30="X",100*0.1,"")</f>
        <v>10</v>
      </c>
      <c r="F30" s="16" t="str">
        <f t="shared" si="9"/>
        <v/>
      </c>
      <c r="G30" s="16" t="str">
        <f>IF(F30="X",60*0.1,"")</f>
        <v/>
      </c>
      <c r="H30" s="16" t="str">
        <f t="shared" si="10"/>
        <v/>
      </c>
      <c r="I30" s="16" t="str">
        <f>IF(H30="X",30*0.1,"")</f>
        <v/>
      </c>
      <c r="J30" s="16" t="str">
        <f t="shared" si="11"/>
        <v/>
      </c>
      <c r="K30" s="16" t="str">
        <f t="shared" si="12"/>
        <v/>
      </c>
    </row>
    <row r="31" spans="1:11" ht="15.75" customHeight="1" x14ac:dyDescent="0.3">
      <c r="A31" s="63"/>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2"/>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2" t="s">
        <v>59</v>
      </c>
      <c r="B36" s="51" t="s">
        <v>68</v>
      </c>
      <c r="C36" s="54" t="str">
        <f>B5</f>
        <v>Rodrigo Riquelme</v>
      </c>
      <c r="D36" s="55"/>
      <c r="E36" s="55"/>
      <c r="F36" s="55"/>
      <c r="G36" s="55"/>
      <c r="H36" s="55"/>
      <c r="I36" s="55"/>
      <c r="J36" s="55"/>
      <c r="K36" s="56"/>
    </row>
    <row r="37" spans="1:11" ht="15.75" customHeight="1" x14ac:dyDescent="0.25">
      <c r="A37" s="63"/>
      <c r="B37" s="52"/>
      <c r="C37" s="57"/>
      <c r="D37" s="58"/>
      <c r="E37" s="58"/>
      <c r="F37" s="58"/>
      <c r="G37" s="58"/>
      <c r="H37" s="58"/>
      <c r="I37" s="58"/>
      <c r="J37" s="58"/>
      <c r="K37" s="59"/>
    </row>
    <row r="38" spans="1:11" ht="15.75" customHeight="1" x14ac:dyDescent="0.25">
      <c r="A38" s="63"/>
      <c r="B38" s="14" t="s">
        <v>69</v>
      </c>
      <c r="C38" s="53" t="s">
        <v>60</v>
      </c>
      <c r="D38" s="60" t="s">
        <v>61</v>
      </c>
      <c r="E38" s="65"/>
      <c r="F38" s="65"/>
      <c r="G38" s="65"/>
      <c r="H38" s="65"/>
      <c r="I38" s="65"/>
      <c r="J38" s="65"/>
      <c r="K38" s="61"/>
    </row>
    <row r="39" spans="1:11" ht="15.75" customHeight="1" x14ac:dyDescent="0.25">
      <c r="A39" s="63"/>
      <c r="B39" s="15" t="s">
        <v>62</v>
      </c>
      <c r="C39" s="52"/>
      <c r="D39" s="60" t="s">
        <v>63</v>
      </c>
      <c r="E39" s="61"/>
      <c r="F39" s="60" t="s">
        <v>64</v>
      </c>
      <c r="G39" s="61"/>
      <c r="H39" s="64" t="s">
        <v>65</v>
      </c>
      <c r="I39" s="61"/>
      <c r="J39" s="60" t="s">
        <v>6</v>
      </c>
      <c r="K39" s="61"/>
    </row>
    <row r="40" spans="1:11" ht="15.75" customHeight="1" x14ac:dyDescent="0.25">
      <c r="A40" s="63"/>
      <c r="B40" s="30" t="str">
        <f>RUBRICA!A6</f>
        <v>3. Relaciona el Proyecto APT con sus intereses profesionales. *</v>
      </c>
      <c r="C40" s="28" t="s">
        <v>63</v>
      </c>
      <c r="D40" s="16" t="str">
        <f t="shared" ref="D40:D42" si="13">IF($C40=CL,"X","")</f>
        <v>X</v>
      </c>
      <c r="E40" s="16">
        <f>IF(D40="X",100*0.05,"")</f>
        <v>5</v>
      </c>
      <c r="F40" s="16" t="str">
        <f t="shared" ref="F40:F42" si="14">IF($C40=L,"X","")</f>
        <v/>
      </c>
      <c r="G40" s="16" t="str">
        <f>IF(F40="X",60*0.05,"")</f>
        <v/>
      </c>
      <c r="H40" s="16" t="str">
        <f t="shared" ref="H40:H42" si="15">IF($C40=ML,"X","")</f>
        <v/>
      </c>
      <c r="I40" s="16" t="str">
        <f>IF(H40="X",30*0.05,"")</f>
        <v/>
      </c>
      <c r="J40" s="16" t="str">
        <f t="shared" ref="J40:J42" si="16">IF($C40=NL,"X","")</f>
        <v/>
      </c>
      <c r="K40" s="16" t="str">
        <f t="shared" ref="K40:K42" si="17">IF($J40="X",0,"")</f>
        <v/>
      </c>
    </row>
    <row r="41" spans="1:11" ht="25.9" customHeight="1" x14ac:dyDescent="0.25">
      <c r="A41" s="63"/>
      <c r="B41" s="30" t="str">
        <f>RUBRICA!A11</f>
        <v>8. Expone el tema utilizando un lenguaje técnico disciplinar al presentar la propuesta y responde evidenciando un manejo de la información. *</v>
      </c>
      <c r="C41" s="28" t="s">
        <v>63</v>
      </c>
      <c r="D41" s="16" t="str">
        <f t="shared" si="13"/>
        <v>X</v>
      </c>
      <c r="E41" s="16">
        <f>IF(D41="X",100*0.1,"")</f>
        <v>10</v>
      </c>
      <c r="F41" s="16" t="str">
        <f t="shared" si="14"/>
        <v/>
      </c>
      <c r="G41" s="16" t="str">
        <f>IF(F41="X",60*0.1,"")</f>
        <v/>
      </c>
      <c r="H41" s="16" t="str">
        <f t="shared" si="15"/>
        <v/>
      </c>
      <c r="I41" s="16" t="str">
        <f>IF(H41="X",30*0.1,"")</f>
        <v/>
      </c>
      <c r="J41" s="16" t="str">
        <f t="shared" si="16"/>
        <v/>
      </c>
      <c r="K41" s="16" t="str">
        <f t="shared" si="17"/>
        <v/>
      </c>
    </row>
    <row r="42" spans="1:11" x14ac:dyDescent="0.25">
      <c r="A42" s="63"/>
      <c r="B42" s="30" t="str">
        <f>RUBRICA!A13</f>
        <v>10. Colaboración y trabajo en equipo *</v>
      </c>
      <c r="C42" s="28" t="s">
        <v>63</v>
      </c>
      <c r="D42" s="16" t="str">
        <f t="shared" si="13"/>
        <v>X</v>
      </c>
      <c r="E42" s="16">
        <f>IF(D42="X",100*0.1,"")</f>
        <v>10</v>
      </c>
      <c r="F42" s="16" t="str">
        <f t="shared" si="14"/>
        <v/>
      </c>
      <c r="G42" s="16" t="str">
        <f>IF(F42="X",60*0.1,"")</f>
        <v/>
      </c>
      <c r="H42" s="16" t="str">
        <f t="shared" si="15"/>
        <v/>
      </c>
      <c r="I42" s="16" t="str">
        <f>IF(H42="X",30*0.1,"")</f>
        <v/>
      </c>
      <c r="J42" s="16" t="str">
        <f t="shared" si="16"/>
        <v/>
      </c>
      <c r="K42" s="16" t="str">
        <f t="shared" si="17"/>
        <v/>
      </c>
    </row>
    <row r="43" spans="1:11" ht="15.75" customHeight="1" x14ac:dyDescent="0.3">
      <c r="A43" s="63"/>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2"/>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2" t="s">
        <v>59</v>
      </c>
      <c r="B47" s="51" t="s">
        <v>68</v>
      </c>
      <c r="C47" s="54" t="str">
        <f>B6</f>
        <v>Marco Antonio Robles Garrido</v>
      </c>
      <c r="D47" s="55"/>
      <c r="E47" s="55"/>
      <c r="F47" s="55"/>
      <c r="G47" s="55"/>
      <c r="H47" s="55"/>
      <c r="I47" s="55"/>
      <c r="J47" s="55"/>
      <c r="K47" s="56"/>
    </row>
    <row r="48" spans="1:11" ht="15.75" customHeight="1" x14ac:dyDescent="0.25">
      <c r="A48" s="63"/>
      <c r="B48" s="52"/>
      <c r="C48" s="57"/>
      <c r="D48" s="58"/>
      <c r="E48" s="58"/>
      <c r="F48" s="58"/>
      <c r="G48" s="58"/>
      <c r="H48" s="58"/>
      <c r="I48" s="58"/>
      <c r="J48" s="58"/>
      <c r="K48" s="59"/>
    </row>
    <row r="49" spans="1:11" ht="15.75" customHeight="1" x14ac:dyDescent="0.25">
      <c r="A49" s="63"/>
      <c r="B49" s="14" t="s">
        <v>69</v>
      </c>
      <c r="C49" s="53" t="s">
        <v>60</v>
      </c>
      <c r="D49" s="60" t="s">
        <v>61</v>
      </c>
      <c r="E49" s="65"/>
      <c r="F49" s="65"/>
      <c r="G49" s="65"/>
      <c r="H49" s="65"/>
      <c r="I49" s="65"/>
      <c r="J49" s="65"/>
      <c r="K49" s="61"/>
    </row>
    <row r="50" spans="1:11" ht="15.75" customHeight="1" x14ac:dyDescent="0.25">
      <c r="A50" s="63"/>
      <c r="B50" s="15" t="s">
        <v>62</v>
      </c>
      <c r="C50" s="52"/>
      <c r="D50" s="60" t="s">
        <v>63</v>
      </c>
      <c r="E50" s="61"/>
      <c r="F50" s="60" t="s">
        <v>64</v>
      </c>
      <c r="G50" s="61"/>
      <c r="H50" s="64" t="s">
        <v>65</v>
      </c>
      <c r="I50" s="61"/>
      <c r="J50" s="60" t="s">
        <v>6</v>
      </c>
      <c r="K50" s="61"/>
    </row>
    <row r="51" spans="1:11" ht="15.75" customHeight="1" x14ac:dyDescent="0.25">
      <c r="A51" s="63"/>
      <c r="B51" s="30" t="str">
        <f>RUBRICA!A6</f>
        <v>3. Relaciona el Proyecto APT con sus intereses profesionales. *</v>
      </c>
      <c r="C51" s="28" t="s">
        <v>63</v>
      </c>
      <c r="D51" s="16" t="str">
        <f t="shared" ref="D51:D53" si="18">IF($C51=CL,"X","")</f>
        <v>X</v>
      </c>
      <c r="E51" s="16">
        <f>IF(D51="X",100*0.05,"")</f>
        <v>5</v>
      </c>
      <c r="F51" s="16" t="str">
        <f t="shared" ref="F51:F53" si="19">IF($C51=L,"X","")</f>
        <v/>
      </c>
      <c r="G51" s="16" t="str">
        <f>IF(F51="X",60*0.05,"")</f>
        <v/>
      </c>
      <c r="H51" s="16" t="str">
        <f t="shared" ref="H51:H53" si="20">IF($C51=ML,"X","")</f>
        <v/>
      </c>
      <c r="I51" s="16" t="str">
        <f>IF(H51="X",30*0.05,"")</f>
        <v/>
      </c>
      <c r="J51" s="16" t="str">
        <f t="shared" ref="J51:J53" si="21">IF($C51=NL,"X","")</f>
        <v/>
      </c>
      <c r="K51" s="16" t="str">
        <f t="shared" ref="K51:K53" si="22">IF($J51="X",0,"")</f>
        <v/>
      </c>
    </row>
    <row r="52" spans="1:11" ht="25.9" customHeight="1" x14ac:dyDescent="0.25">
      <c r="A52" s="63"/>
      <c r="B52" s="30" t="str">
        <f>RUBRICA!A11</f>
        <v>8. Expone el tema utilizando un lenguaje técnico disciplinar al presentar la propuesta y responde evidenciando un manejo de la información. *</v>
      </c>
      <c r="C52" s="28" t="s">
        <v>63</v>
      </c>
      <c r="D52" s="16" t="str">
        <f t="shared" si="18"/>
        <v>X</v>
      </c>
      <c r="E52" s="16">
        <f>IF(D52="X",100*0.1,"")</f>
        <v>10</v>
      </c>
      <c r="F52" s="16" t="str">
        <f t="shared" si="19"/>
        <v/>
      </c>
      <c r="G52" s="16" t="str">
        <f>IF(F52="X",60*0.1,"")</f>
        <v/>
      </c>
      <c r="H52" s="16" t="str">
        <f t="shared" si="20"/>
        <v/>
      </c>
      <c r="I52" s="16" t="str">
        <f>IF(H52="X",30*0.1,"")</f>
        <v/>
      </c>
      <c r="J52" s="16" t="str">
        <f t="shared" si="21"/>
        <v/>
      </c>
      <c r="K52" s="16" t="str">
        <f t="shared" si="22"/>
        <v/>
      </c>
    </row>
    <row r="53" spans="1:11" x14ac:dyDescent="0.25">
      <c r="A53" s="63"/>
      <c r="B53" s="30" t="str">
        <f>RUBRICA!A13</f>
        <v>10. Colaboración y trabajo en equipo *</v>
      </c>
      <c r="C53" s="28" t="s">
        <v>63</v>
      </c>
      <c r="D53" s="16" t="str">
        <f t="shared" si="18"/>
        <v>X</v>
      </c>
      <c r="E53" s="16">
        <f>IF(D53="X",100*0.1,"")</f>
        <v>10</v>
      </c>
      <c r="F53" s="16" t="str">
        <f t="shared" si="19"/>
        <v/>
      </c>
      <c r="G53" s="16" t="str">
        <f>IF(F53="X",60*0.1,"")</f>
        <v/>
      </c>
      <c r="H53" s="16" t="str">
        <f t="shared" si="20"/>
        <v/>
      </c>
      <c r="I53" s="16" t="str">
        <f>IF(H53="X",30*0.1,"")</f>
        <v/>
      </c>
      <c r="J53" s="16" t="str">
        <f t="shared" si="21"/>
        <v/>
      </c>
      <c r="K53" s="16" t="str">
        <f t="shared" si="22"/>
        <v/>
      </c>
    </row>
    <row r="54" spans="1:11" ht="15.75" customHeight="1" x14ac:dyDescent="0.3">
      <c r="A54" s="63"/>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2"/>
      <c r="B55" s="17" t="s">
        <v>67</v>
      </c>
      <c r="C55" s="20">
        <f>VLOOKUP(C54,ESCALA_TRAB_EQUIP!A1:B52,2,FALSE)</f>
        <v>7</v>
      </c>
    </row>
    <row r="56" spans="1:11" ht="15.75" customHeight="1" x14ac:dyDescent="0.3">
      <c r="B56" s="22"/>
      <c r="C56" s="23"/>
    </row>
    <row r="57" spans="1:11" ht="15.75" customHeight="1" x14ac:dyDescent="0.25">
      <c r="A57" s="62" t="s">
        <v>59</v>
      </c>
      <c r="B57" s="51" t="s">
        <v>68</v>
      </c>
      <c r="C57" s="54" t="str">
        <f>B7</f>
        <v>Rodrigo Soto</v>
      </c>
      <c r="D57" s="55"/>
      <c r="E57" s="55"/>
      <c r="F57" s="55"/>
      <c r="G57" s="55"/>
      <c r="H57" s="55"/>
      <c r="I57" s="55"/>
      <c r="J57" s="55"/>
      <c r="K57" s="56"/>
    </row>
    <row r="58" spans="1:11" ht="15.75" customHeight="1" x14ac:dyDescent="0.25">
      <c r="A58" s="63"/>
      <c r="B58" s="52"/>
      <c r="C58" s="57"/>
      <c r="D58" s="58"/>
      <c r="E58" s="58"/>
      <c r="F58" s="58"/>
      <c r="G58" s="58"/>
      <c r="H58" s="58"/>
      <c r="I58" s="58"/>
      <c r="J58" s="58"/>
      <c r="K58" s="59"/>
    </row>
    <row r="59" spans="1:11" ht="15.75" customHeight="1" x14ac:dyDescent="0.25">
      <c r="A59" s="63"/>
      <c r="B59" s="14" t="s">
        <v>69</v>
      </c>
      <c r="C59" s="53" t="s">
        <v>60</v>
      </c>
      <c r="D59" s="60" t="s">
        <v>61</v>
      </c>
      <c r="E59" s="65"/>
      <c r="F59" s="65"/>
      <c r="G59" s="65"/>
      <c r="H59" s="65"/>
      <c r="I59" s="65"/>
      <c r="J59" s="65"/>
      <c r="K59" s="61"/>
    </row>
    <row r="60" spans="1:11" ht="15.75" customHeight="1" x14ac:dyDescent="0.25">
      <c r="A60" s="63"/>
      <c r="B60" s="15" t="s">
        <v>62</v>
      </c>
      <c r="C60" s="52"/>
      <c r="D60" s="60" t="s">
        <v>63</v>
      </c>
      <c r="E60" s="61"/>
      <c r="F60" s="60" t="s">
        <v>64</v>
      </c>
      <c r="G60" s="61"/>
      <c r="H60" s="64" t="s">
        <v>65</v>
      </c>
      <c r="I60" s="61"/>
      <c r="J60" s="60" t="s">
        <v>6</v>
      </c>
      <c r="K60" s="61"/>
    </row>
    <row r="61" spans="1:11" ht="15.75" customHeight="1" x14ac:dyDescent="0.25">
      <c r="A61" s="63"/>
      <c r="B61" s="30">
        <f>RUBRICA!A16</f>
        <v>0</v>
      </c>
      <c r="C61" s="28" t="s">
        <v>63</v>
      </c>
      <c r="D61" s="16" t="str">
        <f t="shared" ref="D61:D63" si="23">IF($C61=CL,"X","")</f>
        <v>X</v>
      </c>
      <c r="E61" s="16">
        <f>IF(D61="X",100*0.05,"")</f>
        <v>5</v>
      </c>
      <c r="F61" s="16" t="str">
        <f t="shared" ref="F61:F63" si="24">IF($C61=L,"X","")</f>
        <v/>
      </c>
      <c r="G61" s="16" t="str">
        <f>IF(F61="X",60*0.05,"")</f>
        <v/>
      </c>
      <c r="H61" s="16" t="str">
        <f t="shared" ref="H61:H63" si="25">IF($C61=ML,"X","")</f>
        <v/>
      </c>
      <c r="I61" s="16" t="str">
        <f>IF(H61="X",30*0.05,"")</f>
        <v/>
      </c>
      <c r="J61" s="16" t="str">
        <f t="shared" ref="J61:J63" si="26">IF($C61=NL,"X","")</f>
        <v/>
      </c>
      <c r="K61" s="16" t="str">
        <f t="shared" ref="K61:K63" si="27">IF($J61="X",0,"")</f>
        <v/>
      </c>
    </row>
    <row r="62" spans="1:11" ht="15.75" customHeight="1" x14ac:dyDescent="0.25">
      <c r="A62" s="63"/>
      <c r="B62" s="30">
        <f>RUBRICA!A21</f>
        <v>0</v>
      </c>
      <c r="C62" s="28" t="s">
        <v>63</v>
      </c>
      <c r="D62" s="16" t="str">
        <f t="shared" si="23"/>
        <v>X</v>
      </c>
      <c r="E62" s="16">
        <f>IF(D62="X",100*0.1,"")</f>
        <v>10</v>
      </c>
      <c r="F62" s="16" t="str">
        <f t="shared" si="24"/>
        <v/>
      </c>
      <c r="G62" s="16" t="str">
        <f>IF(F62="X",60*0.1,"")</f>
        <v/>
      </c>
      <c r="H62" s="16" t="str">
        <f t="shared" si="25"/>
        <v/>
      </c>
      <c r="I62" s="16" t="str">
        <f>IF(H62="X",30*0.1,"")</f>
        <v/>
      </c>
      <c r="J62" s="16" t="str">
        <f t="shared" si="26"/>
        <v/>
      </c>
      <c r="K62" s="16" t="str">
        <f t="shared" si="27"/>
        <v/>
      </c>
    </row>
    <row r="63" spans="1:11" ht="15.75" customHeight="1" x14ac:dyDescent="0.25">
      <c r="A63" s="63"/>
      <c r="B63" s="30">
        <f>RUBRICA!A23</f>
        <v>0</v>
      </c>
      <c r="C63" s="28" t="s">
        <v>63</v>
      </c>
      <c r="D63" s="16" t="str">
        <f t="shared" si="23"/>
        <v>X</v>
      </c>
      <c r="E63" s="16">
        <f>IF(D63="X",100*0.1,"")</f>
        <v>10</v>
      </c>
      <c r="F63" s="16" t="str">
        <f t="shared" si="24"/>
        <v/>
      </c>
      <c r="G63" s="16" t="str">
        <f>IF(F63="X",60*0.1,"")</f>
        <v/>
      </c>
      <c r="H63" s="16" t="str">
        <f t="shared" si="25"/>
        <v/>
      </c>
      <c r="I63" s="16" t="str">
        <f>IF(H63="X",30*0.1,"")</f>
        <v/>
      </c>
      <c r="J63" s="16" t="str">
        <f t="shared" si="26"/>
        <v/>
      </c>
      <c r="K63" s="16" t="str">
        <f t="shared" si="27"/>
        <v/>
      </c>
    </row>
    <row r="64" spans="1:11" ht="15.75" customHeight="1" x14ac:dyDescent="0.3">
      <c r="A64" s="63"/>
      <c r="B64" s="21" t="s">
        <v>70</v>
      </c>
      <c r="C64" s="18">
        <f>E64+G64+I64+K64</f>
        <v>25</v>
      </c>
      <c r="D64" s="19"/>
      <c r="E64" s="19">
        <f>SUM(E61:E63)</f>
        <v>25</v>
      </c>
      <c r="F64" s="19"/>
      <c r="G64" s="19">
        <f>SUM(G61:G63)</f>
        <v>0</v>
      </c>
      <c r="H64" s="19"/>
      <c r="I64" s="19">
        <f>SUM(I61:I63)</f>
        <v>0</v>
      </c>
      <c r="J64" s="19"/>
      <c r="K64" s="19">
        <f>SUM(K62:K63)</f>
        <v>0</v>
      </c>
    </row>
    <row r="65" spans="1:3" ht="15.75" customHeight="1" x14ac:dyDescent="0.3">
      <c r="A65" s="52"/>
      <c r="B65" s="17" t="s">
        <v>67</v>
      </c>
      <c r="C65" s="20">
        <f>VLOOKUP(C64,ESCALA_TRAB_EQUIP!A11:B62,2,FALSE)</f>
        <v>7</v>
      </c>
    </row>
    <row r="66" spans="1:3" ht="15.75" customHeight="1" x14ac:dyDescent="0.25"/>
    <row r="67" spans="1:3" ht="15.75" customHeight="1" x14ac:dyDescent="0.25"/>
    <row r="68" spans="1:3" ht="15.75" customHeight="1" x14ac:dyDescent="0.25"/>
    <row r="69" spans="1:3" ht="15.75" customHeight="1" x14ac:dyDescent="0.25"/>
    <row r="70" spans="1:3" ht="15.75" customHeight="1" x14ac:dyDescent="0.25"/>
    <row r="71" spans="1:3" ht="15.75" customHeight="1" x14ac:dyDescent="0.25"/>
    <row r="72" spans="1:3" ht="15.75" customHeight="1" x14ac:dyDescent="0.25"/>
    <row r="73" spans="1:3" ht="15.75" customHeight="1" x14ac:dyDescent="0.25"/>
    <row r="74" spans="1:3" ht="15.75" customHeight="1" x14ac:dyDescent="0.25"/>
    <row r="75" spans="1:3" ht="15.75" customHeight="1" x14ac:dyDescent="0.25"/>
    <row r="76" spans="1:3" ht="15.75" customHeight="1" x14ac:dyDescent="0.25"/>
    <row r="77" spans="1:3" ht="15.75" customHeight="1" x14ac:dyDescent="0.25"/>
    <row r="78" spans="1:3" ht="15.75" customHeight="1" x14ac:dyDescent="0.25"/>
    <row r="79" spans="1:3" ht="15.75" customHeight="1" x14ac:dyDescent="0.25"/>
    <row r="80" spans="1:3"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44">
    <mergeCell ref="A57:A65"/>
    <mergeCell ref="B57:B58"/>
    <mergeCell ref="C57:K58"/>
    <mergeCell ref="C59:C60"/>
    <mergeCell ref="D59:K59"/>
    <mergeCell ref="D60:E60"/>
    <mergeCell ref="F60:G60"/>
    <mergeCell ref="H60:I60"/>
    <mergeCell ref="J60:K60"/>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LUCAS ALONSO OLEA CORNEJO</cp:lastModifiedBy>
  <cp:revision/>
  <dcterms:created xsi:type="dcterms:W3CDTF">2023-08-07T04:08:01Z</dcterms:created>
  <dcterms:modified xsi:type="dcterms:W3CDTF">2026-10-04T05:39:57Z</dcterms:modified>
  <cp:category/>
  <cp:contentStatus/>
</cp:coreProperties>
</file>